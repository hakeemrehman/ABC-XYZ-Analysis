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E:\1. University Teaching Data\2. PU-IIEM\1. MS SCM\0. Inventory &amp; Warehouse Management\1. Introduction to Inventory &amp; Warehouse Management\"/>
    </mc:Choice>
  </mc:AlternateContent>
  <xr:revisionPtr revIDLastSave="0" documentId="13_ncr:1_{9B7763C5-8954-4650-AD1B-4C23D941D50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BC-XYZ" sheetId="1" r:id="rId1"/>
  </sheets>
  <definedNames>
    <definedName name="_xlchart.v1.0" hidden="1">'ABC-XYZ'!$B$17:$B$24</definedName>
    <definedName name="_xlchart.v1.1" hidden="1">'ABC-XYZ'!$O$16</definedName>
    <definedName name="_xlchart.v1.2" hidden="1">'ABC-XYZ'!$O$17:$O$24</definedName>
    <definedName name="_xlchart.v1.3" hidden="1">'ABC-XYZ'!$P$16</definedName>
    <definedName name="_xlchart.v1.4" hidden="1">'ABC-XYZ'!$P$17:$P$24</definedName>
    <definedName name="_xlchart.v1.5" hidden="1">'ABC-XYZ'!$B$17:$B$24</definedName>
    <definedName name="_xlchart.v1.6" hidden="1">'ABC-XYZ'!$O$16</definedName>
    <definedName name="_xlchart.v1.7" hidden="1">'ABC-XYZ'!$O$17:$O$24</definedName>
    <definedName name="_xlchart.v1.8" hidden="1">'ABC-XYZ'!$P$16</definedName>
    <definedName name="_xlchart.v1.9" hidden="1">'ABC-XYZ'!$P$17:$P$24</definedName>
  </definedNames>
  <calcPr calcId="181029"/>
</workbook>
</file>

<file path=xl/calcChain.xml><?xml version="1.0" encoding="utf-8"?>
<calcChain xmlns="http://schemas.openxmlformats.org/spreadsheetml/2006/main">
  <c r="R26" i="1" l="1"/>
  <c r="S26" i="1" s="1"/>
  <c r="T26" i="1" s="1"/>
  <c r="O26" i="1"/>
  <c r="R25" i="1"/>
  <c r="S25" i="1" s="1"/>
  <c r="T25" i="1" s="1"/>
  <c r="O25" i="1"/>
  <c r="R24" i="1"/>
  <c r="S24" i="1" s="1"/>
  <c r="T24" i="1" s="1"/>
  <c r="O24" i="1"/>
  <c r="R23" i="1"/>
  <c r="S23" i="1" s="1"/>
  <c r="T23" i="1" s="1"/>
  <c r="O23" i="1"/>
  <c r="R22" i="1"/>
  <c r="S22" i="1" s="1"/>
  <c r="T22" i="1" s="1"/>
  <c r="O22" i="1"/>
  <c r="R21" i="1"/>
  <c r="S21" i="1" s="1"/>
  <c r="T21" i="1" s="1"/>
  <c r="O21" i="1"/>
  <c r="R20" i="1"/>
  <c r="S20" i="1" s="1"/>
  <c r="T20" i="1" s="1"/>
  <c r="O20" i="1"/>
  <c r="R19" i="1"/>
  <c r="S19" i="1" s="1"/>
  <c r="T19" i="1" s="1"/>
  <c r="O19" i="1"/>
  <c r="R18" i="1"/>
  <c r="S18" i="1" s="1"/>
  <c r="T18" i="1" s="1"/>
  <c r="O18" i="1"/>
  <c r="R17" i="1"/>
  <c r="S17" i="1" s="1"/>
  <c r="T17" i="1" s="1"/>
  <c r="O17" i="1"/>
  <c r="R12" i="1"/>
  <c r="R6" i="1"/>
  <c r="O27" i="1" l="1"/>
  <c r="P17" i="1" s="1"/>
  <c r="Q17" i="1" s="1"/>
  <c r="S11" i="1"/>
  <c r="S10" i="1"/>
  <c r="S12" i="1"/>
  <c r="T10" i="1" l="1"/>
  <c r="T11" i="1"/>
  <c r="T12" i="1"/>
  <c r="P18" i="1"/>
  <c r="Q18" i="1" s="1"/>
  <c r="P19" i="1" l="1"/>
  <c r="Q19" i="1" s="1"/>
  <c r="P20" i="1" l="1"/>
  <c r="Q20" i="1" s="1"/>
  <c r="P21" i="1" l="1"/>
  <c r="Q21" i="1" s="1"/>
  <c r="P22" i="1" l="1"/>
  <c r="Q22" i="1" s="1"/>
  <c r="P23" i="1" l="1"/>
  <c r="Q23" i="1" s="1"/>
  <c r="P24" i="1" l="1"/>
  <c r="Q24" i="1" s="1"/>
  <c r="P25" i="1" l="1"/>
  <c r="P26" i="1" l="1"/>
  <c r="Q26" i="1" s="1"/>
  <c r="Q25" i="1"/>
  <c r="S5" i="1" l="1"/>
  <c r="U6" i="1"/>
  <c r="U5" i="1"/>
  <c r="U4" i="1"/>
  <c r="S4" i="1"/>
  <c r="S6" i="1"/>
  <c r="T6" i="1" l="1"/>
  <c r="T5" i="1"/>
  <c r="T4" i="1"/>
</calcChain>
</file>

<file path=xl/sharedStrings.xml><?xml version="1.0" encoding="utf-8"?>
<sst xmlns="http://schemas.openxmlformats.org/spreadsheetml/2006/main" count="34" uniqueCount="31">
  <si>
    <t>ABC Analysis</t>
  </si>
  <si>
    <t>Score</t>
  </si>
  <si>
    <t>% Revenue</t>
  </si>
  <si>
    <t># Products</t>
  </si>
  <si>
    <t>% Products</t>
  </si>
  <si>
    <t>Tot. Sales</t>
  </si>
  <si>
    <t>A</t>
  </si>
  <si>
    <t>B</t>
  </si>
  <si>
    <t>C</t>
  </si>
  <si>
    <t>XYZ Analysis</t>
  </si>
  <si>
    <t>% Variation</t>
  </si>
  <si>
    <t>X</t>
  </si>
  <si>
    <t>Y</t>
  </si>
  <si>
    <t>Z</t>
  </si>
  <si>
    <t>Total</t>
  </si>
  <si>
    <t>ABC</t>
  </si>
  <si>
    <t>XYZ</t>
  </si>
  <si>
    <t>Cum %</t>
  </si>
  <si>
    <t>Standard Deviation</t>
  </si>
  <si>
    <t>Coefficient of Variation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</si>
  <si>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</si>
  <si>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</si>
  <si>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</si>
  <si>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</si>
  <si>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</si>
  <si>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</si>
  <si>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</si>
  <si>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</si>
  <si>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</si>
  <si>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</si>
  <si>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SKUs / Monthly Sales (Euro)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</si>
</sst>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??\ &quot;€&quot;_-;_-@"/>
    <numFmt numFmtId="165" formatCode="#,##0\ [$€-1]"/>
    <numFmt numFmtId="166" formatCode="0.0%"/>
    <numFmt numFmtId="167" formatCode="_-* #,##0\ _€_-;\-* #,##0\ _€_-;_-* &quot;-&quot;??\ _€_-;_-@"/>
    <numFmt numFmtId="168" formatCode="0.0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11"/>
      <color rgb="FFA5A5A5"/>
      <name val="Calibri"/>
      <family val="2"/>
    </font>
    <font>
      <sz val="11"/>
      <color rgb="FF006100"/>
      <name val="Calibri"/>
      <family val="2"/>
    </font>
    <font>
      <sz val="11"/>
      <color rgb="FF0000FF"/>
      <name val="Calibri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B6D7A8"/>
        <bgColor rgb="FFB6D7A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0CECE"/>
        <bgColor rgb="FFD0CECE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1" xfId="0" applyFont="1" applyBorder="1"/>
    <xf numFmtId="0" fontId="4" fillId="0" borderId="1" xfId="0" applyFont="1" applyBorder="1"/>
    <xf numFmtId="0" fontId="5" fillId="0" borderId="2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9" fontId="5" fillId="0" borderId="2" xfId="0" applyNumberFormat="1" applyFont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9" fontId="7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9" fontId="4" fillId="0" borderId="6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2" fillId="0" borderId="0" xfId="0" applyFont="1"/>
    <xf numFmtId="0" fontId="8" fillId="5" borderId="5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1" fillId="0" borderId="0" xfId="0" applyFont="1"/>
    <xf numFmtId="9" fontId="4" fillId="0" borderId="0" xfId="0" applyNumberFormat="1" applyFont="1"/>
    <xf numFmtId="0" fontId="6" fillId="0" borderId="6" xfId="0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/>
    <xf numFmtId="167" fontId="4" fillId="0" borderId="3" xfId="0" applyNumberFormat="1" applyFont="1" applyBorder="1"/>
    <xf numFmtId="9" fontId="4" fillId="0" borderId="3" xfId="0" applyNumberFormat="1" applyFont="1" applyBorder="1" applyAlignment="1">
      <alignment horizontal="center"/>
    </xf>
    <xf numFmtId="9" fontId="1" fillId="0" borderId="3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3" fillId="0" borderId="0" xfId="0" applyFont="1"/>
    <xf numFmtId="1" fontId="7" fillId="0" borderId="3" xfId="0" applyNumberFormat="1" applyFont="1" applyBorder="1"/>
    <xf numFmtId="167" fontId="1" fillId="0" borderId="3" xfId="0" applyNumberFormat="1" applyFont="1" applyBorder="1"/>
    <xf numFmtId="164" fontId="4" fillId="0" borderId="0" xfId="0" applyNumberFormat="1" applyFont="1"/>
    <xf numFmtId="0" fontId="7" fillId="0" borderId="3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6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Pareto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Pareto Analysis</a:t>
          </a:r>
        </a:p>
      </cx:txPr>
    </cx:title>
    <cx:plotArea>
      <cx:plotAreaRegion>
        <cx:series layoutId="clusteredColumn" uniqueId="{35C040FA-FF60-4017-A18C-1460DA04C232}" formatIdx="0">
          <cx:tx>
            <cx:txData>
              <cx:f>_xlchart.v1.1</cx:f>
              <cx:v> Total</cx:v>
            </cx:txData>
          </cx:tx>
          <cx:dataId val="0"/>
          <cx:layoutPr>
            <cx:aggregation/>
          </cx:layoutPr>
          <cx:axisId val="1"/>
        </cx:series>
        <cx:series layoutId="paretoLine" ownerIdx="0" uniqueId="{D35BB677-DC7C-49FE-9276-82980E8BDA37}" formatIdx="1">
          <cx:axisId val="2"/>
        </cx:series>
        <cx:series layoutId="clusteredColumn" hidden="1" uniqueId="{EF619937-8104-4B16-9414-49B22370A0B0}" formatIdx="2">
          <cx:tx>
            <cx:txData>
              <cx:f>_xlchart.v1.3</cx:f>
              <cx:v>Cum %</cx:v>
            </cx:txData>
          </cx:tx>
          <cx:dataId val="1"/>
          <cx:layoutPr>
            <cx:aggregation/>
          </cx:layoutPr>
          <cx:axisId val="1"/>
        </cx:series>
        <cx:series layoutId="paretoLine" ownerIdx="2" uniqueId="{4C511B17-8F9E-46E7-9168-4F50D45BA52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53340</xdr:colOff>
      <xdr:row>11</xdr:row>
      <xdr:rowOff>148590</xdr:rowOff>
    </xdr:from>
    <xdr:to>
      <xdr:col>26</xdr:col>
      <xdr:colOff>236220</xdr:colOff>
      <xdr:row>26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31A8F5A-FEB0-4E42-B3ED-BBECF849C7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92740" y="20916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DD6EE"/>
  </sheetPr>
  <dimension ref="A1:AH1015"/>
  <sheetViews>
    <sheetView showGridLines="0" tabSelected="1" topLeftCell="D1" workbookViewId="0">
      <selection activeCell="Y8" sqref="Y8"/>
    </sheetView>
  </sheetViews>
  <sheetFormatPr defaultColWidth="14.44140625" defaultRowHeight="15" customHeight="1" outlineLevelCol="1" x14ac:dyDescent="0.3"/>
  <cols>
    <col min="1" max="1" width="3.6640625" customWidth="1"/>
    <col min="2" max="2" width="19.109375" bestFit="1" customWidth="1"/>
    <col min="3" max="14" width="5.44140625" customWidth="1" outlineLevel="1"/>
    <col min="15" max="15" width="10" customWidth="1"/>
    <col min="16" max="16" width="11.44140625" customWidth="1"/>
    <col min="17" max="17" width="6.6640625" customWidth="1"/>
    <col min="18" max="18" width="11.33203125" customWidth="1"/>
    <col min="19" max="21" width="12.33203125" customWidth="1"/>
    <col min="22" max="30" width="10.33203125" customWidth="1"/>
    <col min="31" max="33" width="5.44140625" customWidth="1"/>
    <col min="34" max="34" width="8.6640625" customWidth="1"/>
  </cols>
  <sheetData>
    <row r="1" spans="1:34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3"/>
      <c r="S1" s="3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4"/>
    </row>
    <row r="2" spans="1:34" ht="14.25" customHeight="1" x14ac:dyDescent="0.3">
      <c r="A2" s="1"/>
      <c r="B2" s="1"/>
      <c r="H2" s="1"/>
      <c r="I2" s="1"/>
      <c r="J2" s="1"/>
      <c r="K2" s="1"/>
      <c r="L2" s="1"/>
      <c r="M2" s="1"/>
      <c r="N2" s="1"/>
      <c r="P2" s="6"/>
      <c r="Q2" s="7" t="s">
        <v>0</v>
      </c>
      <c r="R2" s="8"/>
      <c r="S2" s="8"/>
      <c r="T2" s="8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4"/>
    </row>
    <row r="3" spans="1:34" ht="14.25" customHeight="1" x14ac:dyDescent="0.3">
      <c r="A3" s="1"/>
      <c r="B3" s="1"/>
      <c r="H3" s="1"/>
      <c r="I3" s="1"/>
      <c r="J3" s="1"/>
      <c r="K3" s="1"/>
      <c r="L3" s="1"/>
      <c r="M3" s="1"/>
      <c r="N3" s="1"/>
      <c r="P3" s="9"/>
      <c r="Q3" s="10" t="s">
        <v>1</v>
      </c>
      <c r="R3" s="11" t="s">
        <v>2</v>
      </c>
      <c r="S3" s="11" t="s">
        <v>3</v>
      </c>
      <c r="T3" s="11" t="s">
        <v>4</v>
      </c>
      <c r="U3" s="12" t="s">
        <v>5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</row>
    <row r="4" spans="1:34" ht="14.25" customHeight="1" x14ac:dyDescent="0.3">
      <c r="A4" s="1"/>
      <c r="C4" s="13"/>
      <c r="D4" s="13"/>
      <c r="H4" s="1"/>
      <c r="I4" s="1"/>
      <c r="J4" s="1"/>
      <c r="K4" s="1"/>
      <c r="L4" s="1"/>
      <c r="M4" s="1"/>
      <c r="N4" s="1"/>
      <c r="P4" s="14"/>
      <c r="Q4" s="15" t="s">
        <v>6</v>
      </c>
      <c r="R4" s="16">
        <v>0.8</v>
      </c>
      <c r="S4" s="17">
        <f t="shared" ref="S4:S6" si="0">COUNTIF($Q$17:$Q$26,$Q4)</f>
        <v>3</v>
      </c>
      <c r="T4" s="18">
        <f t="shared" ref="T4:T6" si="1">+S4/SUM($S$4:$S$6)</f>
        <v>0.375</v>
      </c>
      <c r="U4" s="19">
        <f t="shared" ref="U4:U6" si="2">SUMIF($Q$17:$Q$26,$Q4,$O$17:$O$26)</f>
        <v>8604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4"/>
    </row>
    <row r="5" spans="1:34" ht="14.4" x14ac:dyDescent="0.3">
      <c r="A5" s="1"/>
      <c r="B5" s="1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20"/>
      <c r="P5" s="14"/>
      <c r="Q5" s="21" t="s">
        <v>7</v>
      </c>
      <c r="R5" s="16">
        <v>0.95</v>
      </c>
      <c r="S5" s="17">
        <f t="shared" si="0"/>
        <v>3</v>
      </c>
      <c r="T5" s="18">
        <f t="shared" si="1"/>
        <v>0.375</v>
      </c>
      <c r="U5" s="19">
        <f t="shared" si="2"/>
        <v>2614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4"/>
    </row>
    <row r="6" spans="1:34" ht="14.4" x14ac:dyDescent="0.3">
      <c r="A6" s="1"/>
      <c r="B6" s="1"/>
      <c r="D6" s="45"/>
      <c r="E6" s="46"/>
      <c r="F6" s="46"/>
      <c r="G6" s="46"/>
      <c r="H6" s="46"/>
      <c r="I6" s="46"/>
      <c r="J6" s="46"/>
      <c r="K6" s="46"/>
      <c r="L6" s="46"/>
      <c r="M6" s="46"/>
      <c r="N6" s="46"/>
      <c r="O6" s="20"/>
      <c r="P6" s="14"/>
      <c r="Q6" s="22" t="s">
        <v>8</v>
      </c>
      <c r="R6" s="17" t="str">
        <f>+"&gt; "&amp;R5*100&amp;"%"</f>
        <v>&gt; 95%</v>
      </c>
      <c r="S6" s="17">
        <f t="shared" si="0"/>
        <v>2</v>
      </c>
      <c r="T6" s="18">
        <f t="shared" si="1"/>
        <v>0.25</v>
      </c>
      <c r="U6" s="19">
        <f t="shared" si="2"/>
        <v>690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4"/>
    </row>
    <row r="7" spans="1:34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P7" s="2"/>
      <c r="Q7" s="3"/>
      <c r="R7" s="3"/>
      <c r="S7" s="3"/>
      <c r="T7" s="3"/>
      <c r="U7" s="3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4"/>
    </row>
    <row r="8" spans="1:34" ht="14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P8" s="23"/>
      <c r="Q8" s="7" t="s">
        <v>9</v>
      </c>
      <c r="R8" s="8"/>
      <c r="S8" s="8"/>
      <c r="T8" s="8"/>
      <c r="Y8" s="5"/>
      <c r="Z8" s="5"/>
      <c r="AA8" s="5"/>
      <c r="AB8" s="5"/>
      <c r="AC8" s="5"/>
      <c r="AD8" s="5"/>
      <c r="AE8" s="5"/>
      <c r="AF8" s="5"/>
      <c r="AG8" s="5"/>
      <c r="AH8" s="4"/>
    </row>
    <row r="9" spans="1:34" ht="14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P9" s="9"/>
      <c r="Q9" s="17" t="s">
        <v>1</v>
      </c>
      <c r="R9" s="17" t="s">
        <v>10</v>
      </c>
      <c r="S9" s="17" t="s">
        <v>3</v>
      </c>
      <c r="T9" s="17" t="s">
        <v>4</v>
      </c>
      <c r="Y9" s="6"/>
      <c r="Z9" s="6"/>
      <c r="AA9" s="24"/>
      <c r="AB9" s="5"/>
      <c r="AC9" s="5"/>
      <c r="AD9" s="5"/>
      <c r="AE9" s="5"/>
      <c r="AF9" s="5"/>
      <c r="AG9" s="5"/>
      <c r="AH9" s="4"/>
    </row>
    <row r="10" spans="1:34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P10" s="14"/>
      <c r="Q10" s="25" t="s">
        <v>11</v>
      </c>
      <c r="R10" s="16">
        <v>0.15</v>
      </c>
      <c r="S10" s="17">
        <f t="shared" ref="S10:S12" si="3">COUNTIF($T$17:$T$26,Q10)</f>
        <v>3</v>
      </c>
      <c r="T10" s="26">
        <f t="shared" ref="T10:T12" si="4">+S10/SUM($S$10:$S$12)</f>
        <v>0.375</v>
      </c>
      <c r="Y10" s="6"/>
      <c r="Z10" s="6"/>
      <c r="AA10" s="24"/>
      <c r="AB10" s="5"/>
      <c r="AC10" s="5"/>
      <c r="AD10" s="5"/>
      <c r="AE10" s="5"/>
      <c r="AF10" s="5"/>
      <c r="AG10" s="5"/>
      <c r="AH10" s="4"/>
    </row>
    <row r="11" spans="1:34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4"/>
      <c r="Q11" s="27" t="s">
        <v>12</v>
      </c>
      <c r="R11" s="16">
        <v>0.3</v>
      </c>
      <c r="S11" s="17">
        <f t="shared" si="3"/>
        <v>3</v>
      </c>
      <c r="T11" s="26">
        <f t="shared" si="4"/>
        <v>0.375</v>
      </c>
      <c r="Y11" s="6"/>
      <c r="Z11" s="6"/>
      <c r="AA11" s="24"/>
      <c r="AB11" s="5"/>
      <c r="AC11" s="5"/>
      <c r="AD11" s="5"/>
      <c r="AE11" s="5"/>
      <c r="AF11" s="5"/>
      <c r="AG11" s="5"/>
      <c r="AH11" s="4"/>
    </row>
    <row r="12" spans="1:34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P12" s="14"/>
      <c r="Q12" s="28" t="s">
        <v>13</v>
      </c>
      <c r="R12" s="17" t="str">
        <f>+"&gt; "&amp;R11*100&amp;"%"</f>
        <v>&gt; 30%</v>
      </c>
      <c r="S12" s="17">
        <f t="shared" si="3"/>
        <v>2</v>
      </c>
      <c r="T12" s="26">
        <f t="shared" si="4"/>
        <v>0.25</v>
      </c>
      <c r="Y12" s="6"/>
      <c r="Z12" s="6"/>
      <c r="AA12" s="24"/>
      <c r="AB12" s="5"/>
      <c r="AC12" s="5"/>
      <c r="AD12" s="5"/>
      <c r="AE12" s="5"/>
      <c r="AF12" s="5"/>
      <c r="AG12" s="5"/>
      <c r="AH12" s="4"/>
    </row>
    <row r="13" spans="1:34" ht="14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  <c r="P13" s="3"/>
      <c r="Q13" s="3"/>
      <c r="R13" s="3"/>
      <c r="S13" s="3"/>
      <c r="T13" s="3"/>
      <c r="AC13" s="5"/>
      <c r="AD13" s="5"/>
      <c r="AE13" s="5"/>
      <c r="AF13" s="5"/>
      <c r="AG13" s="5"/>
      <c r="AH13" s="4"/>
    </row>
    <row r="14" spans="1:34" ht="14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  <c r="P14" s="3"/>
      <c r="Q14" s="3"/>
      <c r="R14" s="3"/>
      <c r="S14" s="3"/>
      <c r="T14" s="3"/>
      <c r="AC14" s="5"/>
      <c r="AD14" s="5"/>
      <c r="AE14" s="5"/>
      <c r="AF14" s="5"/>
      <c r="AG14" s="5"/>
      <c r="AH14" s="4"/>
    </row>
    <row r="15" spans="1:34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/>
      <c r="P15" s="3"/>
      <c r="Q15" s="3"/>
      <c r="R15" s="3"/>
      <c r="S15" s="3"/>
      <c r="T15" s="3"/>
      <c r="U15" s="4"/>
      <c r="AC15" s="5"/>
      <c r="AD15" s="5"/>
      <c r="AE15" s="5"/>
      <c r="AF15" s="5"/>
      <c r="AG15" s="5"/>
      <c r="AH15" s="4"/>
    </row>
    <row r="16" spans="1:34" ht="28.8" x14ac:dyDescent="0.3">
      <c r="A16" s="1"/>
      <c r="B16" s="32" t="s">
        <v>30</v>
      </c>
      <c r="C16" s="30">
        <v>1</v>
      </c>
      <c r="D16" s="30">
        <v>2</v>
      </c>
      <c r="E16" s="30">
        <v>3</v>
      </c>
      <c r="F16" s="30">
        <v>4</v>
      </c>
      <c r="G16" s="30">
        <v>5</v>
      </c>
      <c r="H16" s="30">
        <v>6</v>
      </c>
      <c r="I16" s="30">
        <v>7</v>
      </c>
      <c r="J16" s="30">
        <v>8</v>
      </c>
      <c r="K16" s="30">
        <v>9</v>
      </c>
      <c r="L16" s="30">
        <v>10</v>
      </c>
      <c r="M16" s="30">
        <v>11</v>
      </c>
      <c r="N16" s="30">
        <v>12</v>
      </c>
      <c r="O16" s="31" t="s">
        <v>14</v>
      </c>
      <c r="P16" s="32" t="s">
        <v>17</v>
      </c>
      <c r="Q16" s="32" t="s">
        <v>15</v>
      </c>
      <c r="R16" s="32" t="s">
        <v>18</v>
      </c>
      <c r="S16" s="32" t="s">
        <v>19</v>
      </c>
      <c r="T16" s="32" t="s">
        <v>16</v>
      </c>
      <c r="U16" s="4"/>
      <c r="AC16" s="5"/>
      <c r="AD16" s="5"/>
      <c r="AE16" s="5"/>
      <c r="AF16" s="5"/>
      <c r="AG16" s="5"/>
      <c r="AH16" s="4"/>
    </row>
    <row r="17" spans="1:34" ht="14.25" customHeight="1" x14ac:dyDescent="0.3">
      <c r="A17" s="6"/>
      <c r="B17" s="33" t="s">
        <v>20</v>
      </c>
      <c r="C17" s="43">
        <v>282</v>
      </c>
      <c r="D17" s="43">
        <v>265</v>
      </c>
      <c r="E17" s="43">
        <v>288</v>
      </c>
      <c r="F17" s="43">
        <v>274</v>
      </c>
      <c r="G17" s="43">
        <v>298</v>
      </c>
      <c r="H17" s="43">
        <v>304</v>
      </c>
      <c r="I17" s="43">
        <v>292</v>
      </c>
      <c r="J17" s="43">
        <v>278</v>
      </c>
      <c r="K17" s="43">
        <v>299</v>
      </c>
      <c r="L17" s="43">
        <v>292</v>
      </c>
      <c r="M17" s="43">
        <v>265</v>
      </c>
      <c r="N17" s="43">
        <v>268</v>
      </c>
      <c r="O17" s="34">
        <f t="shared" ref="O17:O26" si="5">SUM(C17:N17)</f>
        <v>3405</v>
      </c>
      <c r="P17" s="35">
        <f>O17/$O$27</f>
        <v>0.28594222371514949</v>
      </c>
      <c r="Q17" s="36" t="str">
        <f t="shared" ref="Q17:Q26" si="6">IF(O17=0,"-",IF(P17&lt;=$R$4,$Q$4,IF(P17&lt;=$R$5,$Q$5,$Q$6)))</f>
        <v>A</v>
      </c>
      <c r="R17" s="37">
        <f t="shared" ref="R17:R26" si="7">IFERROR(STDEVP(C17:N17),"-")</f>
        <v>13.172730671099798</v>
      </c>
      <c r="S17" s="38">
        <f t="shared" ref="S17:S26" si="8">IFERROR(R17/AVERAGE(C17:N17),"-")</f>
        <v>4.642372042678343E-2</v>
      </c>
      <c r="T17" s="29" t="str">
        <f t="shared" ref="T17:T26" si="9">IF(S17="-","-",IF(S17&lt;=$R$10,$Q$10,IF(S17&lt;=$R$11,$Q$11,$Q$12)))</f>
        <v>X</v>
      </c>
      <c r="U17" s="39"/>
      <c r="AC17" s="39"/>
      <c r="AD17" s="39"/>
      <c r="AE17" s="39"/>
      <c r="AF17" s="39"/>
      <c r="AG17" s="39"/>
      <c r="AH17" s="39"/>
    </row>
    <row r="18" spans="1:34" ht="14.25" customHeight="1" x14ac:dyDescent="0.3">
      <c r="A18" s="6"/>
      <c r="B18" s="33" t="s">
        <v>21</v>
      </c>
      <c r="C18" s="43">
        <v>405</v>
      </c>
      <c r="D18" s="43">
        <v>203</v>
      </c>
      <c r="E18" s="43">
        <v>551</v>
      </c>
      <c r="F18" s="43">
        <v>83</v>
      </c>
      <c r="G18" s="43">
        <v>361</v>
      </c>
      <c r="H18" s="43">
        <v>84</v>
      </c>
      <c r="I18" s="43">
        <v>280</v>
      </c>
      <c r="J18" s="43">
        <v>129</v>
      </c>
      <c r="K18" s="43">
        <v>598</v>
      </c>
      <c r="L18" s="43">
        <v>111</v>
      </c>
      <c r="M18" s="43">
        <v>358</v>
      </c>
      <c r="N18" s="43">
        <v>311</v>
      </c>
      <c r="O18" s="34">
        <f t="shared" si="5"/>
        <v>3474</v>
      </c>
      <c r="P18" s="35">
        <f t="shared" ref="P18:P26" si="10">O18/$O$27+P17</f>
        <v>0.57767887134699358</v>
      </c>
      <c r="Q18" s="36" t="str">
        <f t="shared" si="6"/>
        <v>A</v>
      </c>
      <c r="R18" s="37">
        <f t="shared" si="7"/>
        <v>167.63775429975991</v>
      </c>
      <c r="S18" s="38">
        <f t="shared" si="8"/>
        <v>0.57905960034459381</v>
      </c>
      <c r="T18" s="29" t="str">
        <f t="shared" si="9"/>
        <v>Z</v>
      </c>
      <c r="AC18" s="39"/>
      <c r="AD18" s="39"/>
      <c r="AE18" s="39"/>
      <c r="AF18" s="39"/>
      <c r="AG18" s="39"/>
    </row>
    <row r="19" spans="1:34" ht="14.25" customHeight="1" x14ac:dyDescent="0.3">
      <c r="A19" s="6"/>
      <c r="B19" s="33" t="s">
        <v>22</v>
      </c>
      <c r="C19" s="43">
        <v>121</v>
      </c>
      <c r="D19" s="43">
        <v>168</v>
      </c>
      <c r="E19" s="43">
        <v>150</v>
      </c>
      <c r="F19" s="43">
        <v>148</v>
      </c>
      <c r="G19" s="43">
        <v>120</v>
      </c>
      <c r="H19" s="43">
        <v>160</v>
      </c>
      <c r="I19" s="43">
        <v>100</v>
      </c>
      <c r="J19" s="43">
        <v>156</v>
      </c>
      <c r="K19" s="43">
        <v>148</v>
      </c>
      <c r="L19" s="43">
        <v>120</v>
      </c>
      <c r="M19" s="43">
        <v>170</v>
      </c>
      <c r="N19" s="43">
        <v>164</v>
      </c>
      <c r="O19" s="34">
        <f t="shared" si="5"/>
        <v>1725</v>
      </c>
      <c r="P19" s="35">
        <f t="shared" si="10"/>
        <v>0.72253946926436008</v>
      </c>
      <c r="Q19" s="36" t="str">
        <f t="shared" si="6"/>
        <v>A</v>
      </c>
      <c r="R19" s="37">
        <f t="shared" si="7"/>
        <v>21.863687551127629</v>
      </c>
      <c r="S19" s="38">
        <f t="shared" si="8"/>
        <v>0.15209521774697482</v>
      </c>
      <c r="T19" s="29" t="str">
        <f t="shared" si="9"/>
        <v>Y</v>
      </c>
      <c r="AC19" s="39"/>
      <c r="AD19" s="39"/>
      <c r="AE19" s="39"/>
      <c r="AF19" s="39"/>
      <c r="AG19" s="39"/>
    </row>
    <row r="20" spans="1:34" ht="14.25" customHeight="1" x14ac:dyDescent="0.3">
      <c r="A20" s="6"/>
      <c r="B20" s="33" t="s">
        <v>23</v>
      </c>
      <c r="C20" s="43">
        <v>85</v>
      </c>
      <c r="D20" s="43">
        <v>76</v>
      </c>
      <c r="E20" s="43">
        <v>74</v>
      </c>
      <c r="F20" s="43">
        <v>156</v>
      </c>
      <c r="G20" s="43">
        <v>112</v>
      </c>
      <c r="H20" s="43">
        <v>80</v>
      </c>
      <c r="I20" s="43">
        <v>86</v>
      </c>
      <c r="J20" s="43">
        <v>120</v>
      </c>
      <c r="K20" s="43">
        <v>102</v>
      </c>
      <c r="L20" s="43">
        <v>152</v>
      </c>
      <c r="M20" s="43">
        <v>84</v>
      </c>
      <c r="N20" s="43">
        <v>134</v>
      </c>
      <c r="O20" s="34">
        <f t="shared" si="5"/>
        <v>1261</v>
      </c>
      <c r="P20" s="35">
        <f t="shared" si="10"/>
        <v>0.82843466577091029</v>
      </c>
      <c r="Q20" s="36" t="str">
        <f t="shared" si="6"/>
        <v>B</v>
      </c>
      <c r="R20" s="37">
        <f t="shared" si="7"/>
        <v>28.229589480228405</v>
      </c>
      <c r="S20" s="38">
        <f t="shared" si="8"/>
        <v>0.26864002677457643</v>
      </c>
      <c r="T20" s="29" t="str">
        <f t="shared" si="9"/>
        <v>Y</v>
      </c>
      <c r="AC20" s="39"/>
      <c r="AD20" s="39"/>
      <c r="AE20" s="39"/>
      <c r="AF20" s="39"/>
      <c r="AG20" s="39"/>
    </row>
    <row r="21" spans="1:34" ht="14.25" customHeight="1" x14ac:dyDescent="0.3">
      <c r="A21" s="6"/>
      <c r="B21" s="33" t="s">
        <v>24</v>
      </c>
      <c r="C21" s="43">
        <v>58</v>
      </c>
      <c r="D21" s="43">
        <v>57</v>
      </c>
      <c r="E21" s="43">
        <v>66</v>
      </c>
      <c r="F21" s="43">
        <v>68</v>
      </c>
      <c r="G21" s="43">
        <v>71</v>
      </c>
      <c r="H21" s="43">
        <v>69</v>
      </c>
      <c r="I21" s="43">
        <v>77</v>
      </c>
      <c r="J21" s="43">
        <v>73</v>
      </c>
      <c r="K21" s="43">
        <v>77</v>
      </c>
      <c r="L21" s="43">
        <v>61</v>
      </c>
      <c r="M21" s="43">
        <v>69</v>
      </c>
      <c r="N21" s="43">
        <v>66</v>
      </c>
      <c r="O21" s="34">
        <f t="shared" si="5"/>
        <v>812</v>
      </c>
      <c r="P21" s="35">
        <f t="shared" si="10"/>
        <v>0.89662411823983879</v>
      </c>
      <c r="Q21" s="36" t="str">
        <f t="shared" si="6"/>
        <v>B</v>
      </c>
      <c r="R21" s="37">
        <f t="shared" si="7"/>
        <v>6.289320754704403</v>
      </c>
      <c r="S21" s="38">
        <f t="shared" si="8"/>
        <v>9.2945626916813837E-2</v>
      </c>
      <c r="T21" s="29" t="str">
        <f t="shared" si="9"/>
        <v>X</v>
      </c>
      <c r="AC21" s="39"/>
      <c r="AD21" s="39"/>
      <c r="AE21" s="39"/>
      <c r="AF21" s="39"/>
      <c r="AG21" s="39"/>
    </row>
    <row r="22" spans="1:34" ht="14.25" customHeight="1" x14ac:dyDescent="0.3">
      <c r="A22" s="6"/>
      <c r="B22" s="33" t="s">
        <v>25</v>
      </c>
      <c r="C22" s="43">
        <v>51</v>
      </c>
      <c r="D22" s="43">
        <v>38</v>
      </c>
      <c r="E22" s="43">
        <v>40</v>
      </c>
      <c r="F22" s="43">
        <v>14</v>
      </c>
      <c r="G22" s="43">
        <v>60</v>
      </c>
      <c r="H22" s="43">
        <v>42</v>
      </c>
      <c r="I22" s="43">
        <v>56</v>
      </c>
      <c r="J22" s="43">
        <v>54</v>
      </c>
      <c r="K22" s="43">
        <v>46</v>
      </c>
      <c r="L22" s="43">
        <v>46</v>
      </c>
      <c r="M22" s="43">
        <v>48</v>
      </c>
      <c r="N22" s="43">
        <v>46</v>
      </c>
      <c r="O22" s="34">
        <f t="shared" si="5"/>
        <v>541</v>
      </c>
      <c r="P22" s="35">
        <f t="shared" si="10"/>
        <v>0.94205576083305342</v>
      </c>
      <c r="Q22" s="36" t="str">
        <f t="shared" si="6"/>
        <v>B</v>
      </c>
      <c r="R22" s="37">
        <f t="shared" si="7"/>
        <v>11.250617267016459</v>
      </c>
      <c r="S22" s="38">
        <f t="shared" si="8"/>
        <v>0.24955158448095657</v>
      </c>
      <c r="T22" s="29" t="str">
        <f t="shared" si="9"/>
        <v>Y</v>
      </c>
      <c r="AC22" s="39"/>
      <c r="AD22" s="39"/>
      <c r="AE22" s="39"/>
      <c r="AF22" s="39"/>
      <c r="AG22" s="39"/>
    </row>
    <row r="23" spans="1:34" ht="14.25" customHeight="1" x14ac:dyDescent="0.3">
      <c r="A23" s="6"/>
      <c r="B23" s="33" t="s">
        <v>26</v>
      </c>
      <c r="C23" s="43">
        <v>37</v>
      </c>
      <c r="D23" s="43">
        <v>54</v>
      </c>
      <c r="E23" s="43">
        <v>40</v>
      </c>
      <c r="F23" s="43">
        <v>20</v>
      </c>
      <c r="G23" s="43">
        <v>30</v>
      </c>
      <c r="H23" s="43">
        <v>14</v>
      </c>
      <c r="I23" s="43">
        <v>42</v>
      </c>
      <c r="J23" s="43">
        <v>22</v>
      </c>
      <c r="K23" s="43">
        <v>28</v>
      </c>
      <c r="L23" s="43">
        <v>50</v>
      </c>
      <c r="M23" s="43">
        <v>50</v>
      </c>
      <c r="N23" s="43">
        <v>40</v>
      </c>
      <c r="O23" s="34">
        <f t="shared" si="5"/>
        <v>427</v>
      </c>
      <c r="P23" s="35">
        <f t="shared" si="10"/>
        <v>0.9779140073899899</v>
      </c>
      <c r="Q23" s="36" t="str">
        <f t="shared" si="6"/>
        <v>C</v>
      </c>
      <c r="R23" s="37">
        <f t="shared" si="7"/>
        <v>12.311636320525752</v>
      </c>
      <c r="S23" s="38">
        <f t="shared" si="8"/>
        <v>0.34599446334030215</v>
      </c>
      <c r="T23" s="29" t="str">
        <f t="shared" si="9"/>
        <v>Z</v>
      </c>
      <c r="AC23" s="39"/>
      <c r="AD23" s="39"/>
      <c r="AE23" s="39"/>
      <c r="AF23" s="39"/>
      <c r="AG23" s="39"/>
    </row>
    <row r="24" spans="1:34" ht="14.25" customHeight="1" x14ac:dyDescent="0.3">
      <c r="A24" s="6"/>
      <c r="B24" s="33" t="s">
        <v>27</v>
      </c>
      <c r="C24" s="43">
        <v>21</v>
      </c>
      <c r="D24" s="43">
        <v>28</v>
      </c>
      <c r="E24" s="43">
        <v>18</v>
      </c>
      <c r="F24" s="43">
        <v>19</v>
      </c>
      <c r="G24" s="43">
        <v>22</v>
      </c>
      <c r="H24" s="43">
        <v>25</v>
      </c>
      <c r="I24" s="43">
        <v>21</v>
      </c>
      <c r="J24" s="43">
        <v>21</v>
      </c>
      <c r="K24" s="43">
        <v>21</v>
      </c>
      <c r="L24" s="43">
        <v>23</v>
      </c>
      <c r="M24" s="43">
        <v>25</v>
      </c>
      <c r="N24" s="43">
        <v>19</v>
      </c>
      <c r="O24" s="34">
        <f t="shared" si="5"/>
        <v>263</v>
      </c>
      <c r="P24" s="35">
        <f t="shared" si="10"/>
        <v>1</v>
      </c>
      <c r="Q24" s="36" t="str">
        <f t="shared" si="6"/>
        <v>C</v>
      </c>
      <c r="R24" s="37">
        <f t="shared" si="7"/>
        <v>2.7826346428440001</v>
      </c>
      <c r="S24" s="38">
        <f t="shared" si="8"/>
        <v>0.1269643183046692</v>
      </c>
      <c r="T24" s="29" t="str">
        <f t="shared" si="9"/>
        <v>X</v>
      </c>
      <c r="AC24" s="39"/>
      <c r="AD24" s="39"/>
      <c r="AE24" s="39"/>
      <c r="AF24" s="39"/>
      <c r="AG24" s="39"/>
    </row>
    <row r="25" spans="1:34" ht="14.25" customHeight="1" x14ac:dyDescent="0.3">
      <c r="A25" s="6"/>
      <c r="B25" s="33" t="s">
        <v>28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34">
        <f t="shared" si="5"/>
        <v>0</v>
      </c>
      <c r="P25" s="35">
        <f t="shared" si="10"/>
        <v>1</v>
      </c>
      <c r="Q25" s="36" t="str">
        <f t="shared" si="6"/>
        <v>-</v>
      </c>
      <c r="R25" s="37" t="str">
        <f t="shared" si="7"/>
        <v>-</v>
      </c>
      <c r="S25" s="38" t="str">
        <f t="shared" si="8"/>
        <v>-</v>
      </c>
      <c r="T25" s="29" t="str">
        <f t="shared" si="9"/>
        <v>-</v>
      </c>
      <c r="AC25" s="39"/>
      <c r="AD25" s="39"/>
      <c r="AE25" s="39"/>
      <c r="AF25" s="39"/>
      <c r="AG25" s="39"/>
    </row>
    <row r="26" spans="1:34" ht="14.25" customHeight="1" x14ac:dyDescent="0.3">
      <c r="A26" s="6"/>
      <c r="B26" s="33" t="s">
        <v>29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34">
        <f t="shared" si="5"/>
        <v>0</v>
      </c>
      <c r="P26" s="35">
        <f t="shared" si="10"/>
        <v>1</v>
      </c>
      <c r="Q26" s="36" t="str">
        <f t="shared" si="6"/>
        <v>-</v>
      </c>
      <c r="R26" s="37" t="str">
        <f t="shared" si="7"/>
        <v>-</v>
      </c>
      <c r="S26" s="38" t="str">
        <f t="shared" si="8"/>
        <v>-</v>
      </c>
      <c r="T26" s="29" t="str">
        <f t="shared" si="9"/>
        <v>-</v>
      </c>
      <c r="AC26" s="39"/>
      <c r="AD26" s="39"/>
      <c r="AE26" s="39"/>
      <c r="AF26" s="39"/>
      <c r="AG26" s="39"/>
    </row>
    <row r="27" spans="1:34" ht="14.25" customHeight="1" x14ac:dyDescent="0.3">
      <c r="O27" s="41">
        <f>SUM(O17:O26)</f>
        <v>11908</v>
      </c>
      <c r="AC27" s="39"/>
      <c r="AD27" s="39"/>
      <c r="AE27" s="39"/>
      <c r="AF27" s="39"/>
      <c r="AG27" s="39"/>
    </row>
    <row r="28" spans="1:34" ht="14.25" customHeight="1" x14ac:dyDescent="0.3">
      <c r="O28" s="42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</row>
    <row r="29" spans="1:34" ht="14.25" customHeight="1" x14ac:dyDescent="0.3">
      <c r="O29" s="42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</row>
    <row r="30" spans="1:34" ht="14.25" customHeight="1" x14ac:dyDescent="0.3">
      <c r="A30" s="20"/>
      <c r="B30" s="20"/>
      <c r="O30" s="42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</row>
    <row r="31" spans="1:34" ht="14.25" customHeight="1" x14ac:dyDescent="0.3">
      <c r="O31" s="42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</row>
    <row r="32" spans="1:34" ht="14.25" customHeight="1" x14ac:dyDescent="0.3">
      <c r="O32" s="42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</row>
    <row r="33" spans="15:33" ht="14.25" customHeight="1" x14ac:dyDescent="0.3">
      <c r="O33" s="42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</row>
    <row r="34" spans="15:33" ht="14.25" customHeight="1" x14ac:dyDescent="0.3">
      <c r="O34" s="42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</row>
    <row r="35" spans="15:33" ht="14.25" customHeight="1" x14ac:dyDescent="0.3">
      <c r="O35" s="42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</row>
    <row r="36" spans="15:33" ht="14.25" customHeight="1" x14ac:dyDescent="0.3">
      <c r="O36" s="42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15:33" ht="14.25" customHeight="1" x14ac:dyDescent="0.3">
      <c r="O37" s="42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15:33" ht="14.25" customHeight="1" x14ac:dyDescent="0.3">
      <c r="O38" s="42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15:33" ht="14.25" customHeight="1" x14ac:dyDescent="0.3">
      <c r="O39" s="42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  <row r="40" spans="15:33" ht="14.25" customHeight="1" x14ac:dyDescent="0.3">
      <c r="O40" s="42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 spans="15:33" ht="14.25" customHeight="1" x14ac:dyDescent="0.3">
      <c r="O41" s="42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  <row r="42" spans="15:33" ht="14.25" customHeight="1" x14ac:dyDescent="0.3">
      <c r="O42" s="42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 spans="15:33" ht="14.25" customHeight="1" x14ac:dyDescent="0.3">
      <c r="O43" s="42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</row>
    <row r="44" spans="15:33" ht="14.25" customHeight="1" x14ac:dyDescent="0.3">
      <c r="O44" s="42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</row>
    <row r="45" spans="15:33" ht="14.25" customHeight="1" x14ac:dyDescent="0.3">
      <c r="O45" s="42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</row>
    <row r="46" spans="15:33" ht="14.25" customHeight="1" x14ac:dyDescent="0.3">
      <c r="O46" s="42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</row>
    <row r="47" spans="15:33" ht="14.25" customHeight="1" x14ac:dyDescent="0.3">
      <c r="O47" s="42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</row>
    <row r="48" spans="15:33" ht="14.25" customHeight="1" x14ac:dyDescent="0.3">
      <c r="O48" s="42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</row>
    <row r="49" spans="15:33" ht="14.25" customHeight="1" x14ac:dyDescent="0.3">
      <c r="O49" s="42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</row>
    <row r="50" spans="15:33" ht="14.25" customHeight="1" x14ac:dyDescent="0.3">
      <c r="O50" s="42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</row>
    <row r="51" spans="15:33" ht="14.25" customHeight="1" x14ac:dyDescent="0.3">
      <c r="O51" s="42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</row>
    <row r="52" spans="15:33" ht="14.25" customHeight="1" x14ac:dyDescent="0.3">
      <c r="O52" s="42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</row>
    <row r="53" spans="15:33" ht="14.25" customHeight="1" x14ac:dyDescent="0.3">
      <c r="O53" s="42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</row>
    <row r="54" spans="15:33" ht="14.25" customHeight="1" x14ac:dyDescent="0.3">
      <c r="O54" s="42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</row>
    <row r="55" spans="15:33" ht="14.25" customHeight="1" x14ac:dyDescent="0.3">
      <c r="O55" s="42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</row>
    <row r="56" spans="15:33" ht="14.25" customHeight="1" x14ac:dyDescent="0.3">
      <c r="O56" s="42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</row>
    <row r="57" spans="15:33" ht="14.25" customHeight="1" x14ac:dyDescent="0.3">
      <c r="O57" s="42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</row>
    <row r="58" spans="15:33" ht="14.25" customHeight="1" x14ac:dyDescent="0.3">
      <c r="O58" s="42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</row>
    <row r="59" spans="15:33" ht="14.25" customHeight="1" x14ac:dyDescent="0.3">
      <c r="O59" s="42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</row>
    <row r="60" spans="15:33" ht="14.25" customHeight="1" x14ac:dyDescent="0.3">
      <c r="O60" s="42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</row>
    <row r="61" spans="15:33" ht="14.25" customHeight="1" x14ac:dyDescent="0.3">
      <c r="O61" s="42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</row>
    <row r="62" spans="15:33" ht="14.25" customHeight="1" x14ac:dyDescent="0.3">
      <c r="O62" s="42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</row>
    <row r="63" spans="15:33" ht="14.25" customHeight="1" x14ac:dyDescent="0.3">
      <c r="O63" s="42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</row>
    <row r="64" spans="15:33" ht="14.25" customHeight="1" x14ac:dyDescent="0.3">
      <c r="O64" s="42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</row>
    <row r="65" spans="15:33" ht="14.25" customHeight="1" x14ac:dyDescent="0.3">
      <c r="O65" s="42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</row>
    <row r="66" spans="15:33" ht="14.25" customHeight="1" x14ac:dyDescent="0.3">
      <c r="O66" s="42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</row>
    <row r="67" spans="15:33" ht="14.25" customHeight="1" x14ac:dyDescent="0.3">
      <c r="O67" s="42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</row>
    <row r="68" spans="15:33" ht="14.25" customHeight="1" x14ac:dyDescent="0.3">
      <c r="O68" s="42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</row>
    <row r="69" spans="15:33" ht="14.25" customHeight="1" x14ac:dyDescent="0.3">
      <c r="O69" s="42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</row>
    <row r="70" spans="15:33" ht="14.25" customHeight="1" x14ac:dyDescent="0.3">
      <c r="O70" s="42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</row>
    <row r="71" spans="15:33" ht="14.25" customHeight="1" x14ac:dyDescent="0.3">
      <c r="O71" s="42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</row>
    <row r="72" spans="15:33" ht="14.25" customHeight="1" x14ac:dyDescent="0.3">
      <c r="O72" s="42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</row>
    <row r="73" spans="15:33" ht="14.25" customHeight="1" x14ac:dyDescent="0.3">
      <c r="O73" s="42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</row>
    <row r="74" spans="15:33" ht="14.25" customHeight="1" x14ac:dyDescent="0.3">
      <c r="O74" s="42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</row>
    <row r="75" spans="15:33" ht="14.25" customHeight="1" x14ac:dyDescent="0.3">
      <c r="O75" s="42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</row>
    <row r="76" spans="15:33" ht="14.25" customHeight="1" x14ac:dyDescent="0.3">
      <c r="O76" s="42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</row>
    <row r="77" spans="15:33" ht="14.25" customHeight="1" x14ac:dyDescent="0.3">
      <c r="O77" s="42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</row>
    <row r="78" spans="15:33" ht="14.25" customHeight="1" x14ac:dyDescent="0.3">
      <c r="O78" s="42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</row>
    <row r="79" spans="15:33" ht="14.25" customHeight="1" x14ac:dyDescent="0.3">
      <c r="O79" s="42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</row>
    <row r="80" spans="15:33" ht="14.25" customHeight="1" x14ac:dyDescent="0.3">
      <c r="O80" s="42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</row>
    <row r="81" spans="15:33" ht="14.25" customHeight="1" x14ac:dyDescent="0.3">
      <c r="O81" s="42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</row>
    <row r="82" spans="15:33" ht="14.25" customHeight="1" x14ac:dyDescent="0.3">
      <c r="O82" s="42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</row>
    <row r="83" spans="15:33" ht="14.25" customHeight="1" x14ac:dyDescent="0.3">
      <c r="O83" s="42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</row>
    <row r="84" spans="15:33" ht="14.25" customHeight="1" x14ac:dyDescent="0.3">
      <c r="O84" s="42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</row>
    <row r="85" spans="15:33" ht="14.25" customHeight="1" x14ac:dyDescent="0.3">
      <c r="O85" s="42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</row>
    <row r="86" spans="15:33" ht="14.25" customHeight="1" x14ac:dyDescent="0.3">
      <c r="O86" s="42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</row>
    <row r="87" spans="15:33" ht="14.25" customHeight="1" x14ac:dyDescent="0.3">
      <c r="O87" s="42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</row>
    <row r="88" spans="15:33" ht="14.25" customHeight="1" x14ac:dyDescent="0.3">
      <c r="O88" s="42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</row>
    <row r="89" spans="15:33" ht="14.25" customHeight="1" x14ac:dyDescent="0.3">
      <c r="O89" s="42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</row>
    <row r="90" spans="15:33" ht="14.25" customHeight="1" x14ac:dyDescent="0.3">
      <c r="O90" s="42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</row>
    <row r="91" spans="15:33" ht="14.25" customHeight="1" x14ac:dyDescent="0.3">
      <c r="O91" s="42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</row>
    <row r="92" spans="15:33" ht="14.25" customHeight="1" x14ac:dyDescent="0.3">
      <c r="O92" s="42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</row>
    <row r="93" spans="15:33" ht="14.25" customHeight="1" x14ac:dyDescent="0.3">
      <c r="O93" s="42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</row>
    <row r="94" spans="15:33" ht="14.25" customHeight="1" x14ac:dyDescent="0.3">
      <c r="O94" s="42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</row>
    <row r="95" spans="15:33" ht="14.25" customHeight="1" x14ac:dyDescent="0.3">
      <c r="O95" s="42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</row>
    <row r="96" spans="15:33" ht="14.25" customHeight="1" x14ac:dyDescent="0.3">
      <c r="O96" s="42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</row>
    <row r="97" spans="15:33" ht="14.25" customHeight="1" x14ac:dyDescent="0.3">
      <c r="O97" s="42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</row>
    <row r="98" spans="15:33" ht="14.25" customHeight="1" x14ac:dyDescent="0.3">
      <c r="O98" s="42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</row>
    <row r="99" spans="15:33" ht="14.25" customHeight="1" x14ac:dyDescent="0.3">
      <c r="O99" s="42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</row>
    <row r="100" spans="15:33" ht="14.25" customHeight="1" x14ac:dyDescent="0.3">
      <c r="O100" s="42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</row>
    <row r="101" spans="15:33" ht="14.25" customHeight="1" x14ac:dyDescent="0.3">
      <c r="O101" s="42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</row>
    <row r="102" spans="15:33" ht="14.25" customHeight="1" x14ac:dyDescent="0.3">
      <c r="O102" s="42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</row>
    <row r="103" spans="15:33" ht="14.25" customHeight="1" x14ac:dyDescent="0.3">
      <c r="O103" s="42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</row>
    <row r="104" spans="15:33" ht="14.25" customHeight="1" x14ac:dyDescent="0.3">
      <c r="O104" s="42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</row>
    <row r="105" spans="15:33" ht="14.25" customHeight="1" x14ac:dyDescent="0.3">
      <c r="O105" s="42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</row>
    <row r="106" spans="15:33" ht="14.25" customHeight="1" x14ac:dyDescent="0.3">
      <c r="O106" s="42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</row>
    <row r="107" spans="15:33" ht="14.25" customHeight="1" x14ac:dyDescent="0.3">
      <c r="O107" s="42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</row>
    <row r="108" spans="15:33" ht="14.25" customHeight="1" x14ac:dyDescent="0.3">
      <c r="O108" s="42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</row>
    <row r="109" spans="15:33" ht="14.25" customHeight="1" x14ac:dyDescent="0.3">
      <c r="O109" s="42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</row>
    <row r="110" spans="15:33" ht="14.25" customHeight="1" x14ac:dyDescent="0.3">
      <c r="O110" s="42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</row>
    <row r="111" spans="15:33" ht="14.25" customHeight="1" x14ac:dyDescent="0.3">
      <c r="O111" s="42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</row>
    <row r="112" spans="15:33" ht="14.25" customHeight="1" x14ac:dyDescent="0.3">
      <c r="O112" s="42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</row>
    <row r="113" spans="15:33" ht="14.25" customHeight="1" x14ac:dyDescent="0.3">
      <c r="O113" s="42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</row>
    <row r="114" spans="15:33" ht="14.25" customHeight="1" x14ac:dyDescent="0.3">
      <c r="O114" s="42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</row>
    <row r="115" spans="15:33" ht="14.25" customHeight="1" x14ac:dyDescent="0.3">
      <c r="O115" s="42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</row>
    <row r="116" spans="15:33" ht="14.25" customHeight="1" x14ac:dyDescent="0.3">
      <c r="O116" s="42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</row>
    <row r="117" spans="15:33" ht="14.25" customHeight="1" x14ac:dyDescent="0.3">
      <c r="O117" s="42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</row>
    <row r="118" spans="15:33" ht="14.25" customHeight="1" x14ac:dyDescent="0.3">
      <c r="O118" s="42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</row>
    <row r="119" spans="15:33" ht="14.25" customHeight="1" x14ac:dyDescent="0.3">
      <c r="O119" s="42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</row>
    <row r="120" spans="15:33" ht="14.25" customHeight="1" x14ac:dyDescent="0.3">
      <c r="O120" s="42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</row>
    <row r="121" spans="15:33" ht="14.25" customHeight="1" x14ac:dyDescent="0.3">
      <c r="O121" s="42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</row>
    <row r="122" spans="15:33" ht="14.25" customHeight="1" x14ac:dyDescent="0.3">
      <c r="O122" s="42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</row>
    <row r="123" spans="15:33" ht="14.25" customHeight="1" x14ac:dyDescent="0.3">
      <c r="O123" s="42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</row>
    <row r="124" spans="15:33" ht="14.25" customHeight="1" x14ac:dyDescent="0.3">
      <c r="O124" s="42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</row>
    <row r="125" spans="15:33" ht="14.25" customHeight="1" x14ac:dyDescent="0.3">
      <c r="O125" s="42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</row>
    <row r="126" spans="15:33" ht="14.25" customHeight="1" x14ac:dyDescent="0.3">
      <c r="O126" s="42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</row>
    <row r="127" spans="15:33" ht="14.25" customHeight="1" x14ac:dyDescent="0.3">
      <c r="O127" s="42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</row>
    <row r="128" spans="15:33" ht="14.25" customHeight="1" x14ac:dyDescent="0.3">
      <c r="O128" s="42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</row>
    <row r="129" spans="15:33" ht="14.25" customHeight="1" x14ac:dyDescent="0.3">
      <c r="O129" s="42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</row>
    <row r="130" spans="15:33" ht="14.25" customHeight="1" x14ac:dyDescent="0.3">
      <c r="O130" s="42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</row>
    <row r="131" spans="15:33" ht="14.25" customHeight="1" x14ac:dyDescent="0.3">
      <c r="O131" s="42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</row>
    <row r="132" spans="15:33" ht="14.25" customHeight="1" x14ac:dyDescent="0.3">
      <c r="O132" s="42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</row>
    <row r="133" spans="15:33" ht="14.25" customHeight="1" x14ac:dyDescent="0.3">
      <c r="O133" s="42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</row>
    <row r="134" spans="15:33" ht="14.25" customHeight="1" x14ac:dyDescent="0.3">
      <c r="O134" s="42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</row>
    <row r="135" spans="15:33" ht="14.25" customHeight="1" x14ac:dyDescent="0.3">
      <c r="O135" s="42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</row>
    <row r="136" spans="15:33" ht="14.25" customHeight="1" x14ac:dyDescent="0.3">
      <c r="O136" s="42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</row>
    <row r="137" spans="15:33" ht="14.25" customHeight="1" x14ac:dyDescent="0.3">
      <c r="O137" s="42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</row>
    <row r="138" spans="15:33" ht="14.25" customHeight="1" x14ac:dyDescent="0.3">
      <c r="O138" s="42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</row>
    <row r="139" spans="15:33" ht="14.25" customHeight="1" x14ac:dyDescent="0.3">
      <c r="O139" s="42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</row>
    <row r="140" spans="15:33" ht="14.25" customHeight="1" x14ac:dyDescent="0.3">
      <c r="O140" s="42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</row>
    <row r="141" spans="15:33" ht="14.25" customHeight="1" x14ac:dyDescent="0.3">
      <c r="O141" s="42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</row>
    <row r="142" spans="15:33" ht="14.25" customHeight="1" x14ac:dyDescent="0.3">
      <c r="O142" s="42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</row>
    <row r="143" spans="15:33" ht="14.25" customHeight="1" x14ac:dyDescent="0.3">
      <c r="O143" s="42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</row>
    <row r="144" spans="15:33" ht="14.25" customHeight="1" x14ac:dyDescent="0.3">
      <c r="O144" s="42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</row>
    <row r="145" spans="15:33" ht="14.25" customHeight="1" x14ac:dyDescent="0.3">
      <c r="O145" s="42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</row>
    <row r="146" spans="15:33" ht="14.25" customHeight="1" x14ac:dyDescent="0.3">
      <c r="O146" s="42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</row>
    <row r="147" spans="15:33" ht="14.25" customHeight="1" x14ac:dyDescent="0.3">
      <c r="O147" s="42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</row>
    <row r="148" spans="15:33" ht="14.25" customHeight="1" x14ac:dyDescent="0.3">
      <c r="O148" s="42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</row>
    <row r="149" spans="15:33" ht="14.25" customHeight="1" x14ac:dyDescent="0.3">
      <c r="O149" s="42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</row>
    <row r="150" spans="15:33" ht="14.25" customHeight="1" x14ac:dyDescent="0.3">
      <c r="O150" s="42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</row>
    <row r="151" spans="15:33" ht="14.25" customHeight="1" x14ac:dyDescent="0.3">
      <c r="O151" s="42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</row>
    <row r="152" spans="15:33" ht="14.25" customHeight="1" x14ac:dyDescent="0.3">
      <c r="O152" s="42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</row>
    <row r="153" spans="15:33" ht="14.25" customHeight="1" x14ac:dyDescent="0.3">
      <c r="O153" s="42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</row>
    <row r="154" spans="15:33" ht="14.25" customHeight="1" x14ac:dyDescent="0.3">
      <c r="O154" s="42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</row>
    <row r="155" spans="15:33" ht="14.25" customHeight="1" x14ac:dyDescent="0.3">
      <c r="O155" s="42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</row>
    <row r="156" spans="15:33" ht="14.25" customHeight="1" x14ac:dyDescent="0.3">
      <c r="O156" s="42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</row>
    <row r="157" spans="15:33" ht="14.25" customHeight="1" x14ac:dyDescent="0.3">
      <c r="O157" s="42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</row>
    <row r="158" spans="15:33" ht="14.25" customHeight="1" x14ac:dyDescent="0.3">
      <c r="O158" s="42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</row>
    <row r="159" spans="15:33" ht="14.25" customHeight="1" x14ac:dyDescent="0.3">
      <c r="O159" s="42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</row>
    <row r="160" spans="15:33" ht="14.25" customHeight="1" x14ac:dyDescent="0.3">
      <c r="O160" s="42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</row>
    <row r="161" spans="15:33" ht="14.25" customHeight="1" x14ac:dyDescent="0.3">
      <c r="O161" s="42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</row>
    <row r="162" spans="15:33" ht="14.25" customHeight="1" x14ac:dyDescent="0.3">
      <c r="O162" s="42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</row>
    <row r="163" spans="15:33" ht="14.25" customHeight="1" x14ac:dyDescent="0.3">
      <c r="O163" s="42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</row>
    <row r="164" spans="15:33" ht="14.25" customHeight="1" x14ac:dyDescent="0.3">
      <c r="O164" s="42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</row>
    <row r="165" spans="15:33" ht="14.25" customHeight="1" x14ac:dyDescent="0.3">
      <c r="O165" s="42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</row>
    <row r="166" spans="15:33" ht="14.25" customHeight="1" x14ac:dyDescent="0.3">
      <c r="O166" s="42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</row>
    <row r="167" spans="15:33" ht="14.25" customHeight="1" x14ac:dyDescent="0.3">
      <c r="O167" s="42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</row>
    <row r="168" spans="15:33" ht="14.25" customHeight="1" x14ac:dyDescent="0.3">
      <c r="O168" s="42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</row>
    <row r="169" spans="15:33" ht="14.25" customHeight="1" x14ac:dyDescent="0.3">
      <c r="O169" s="42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</row>
    <row r="170" spans="15:33" ht="14.25" customHeight="1" x14ac:dyDescent="0.3">
      <c r="O170" s="42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</row>
    <row r="171" spans="15:33" ht="14.25" customHeight="1" x14ac:dyDescent="0.3">
      <c r="O171" s="42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</row>
    <row r="172" spans="15:33" ht="14.25" customHeight="1" x14ac:dyDescent="0.3">
      <c r="O172" s="42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</row>
    <row r="173" spans="15:33" ht="14.25" customHeight="1" x14ac:dyDescent="0.3">
      <c r="O173" s="42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</row>
    <row r="174" spans="15:33" ht="14.25" customHeight="1" x14ac:dyDescent="0.3">
      <c r="O174" s="42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</row>
    <row r="175" spans="15:33" ht="14.25" customHeight="1" x14ac:dyDescent="0.3">
      <c r="O175" s="42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</row>
    <row r="176" spans="15:33" ht="14.25" customHeight="1" x14ac:dyDescent="0.3">
      <c r="O176" s="42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</row>
    <row r="177" spans="15:33" ht="14.25" customHeight="1" x14ac:dyDescent="0.3">
      <c r="O177" s="42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</row>
    <row r="178" spans="15:33" ht="14.25" customHeight="1" x14ac:dyDescent="0.3">
      <c r="O178" s="42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</row>
    <row r="179" spans="15:33" ht="14.25" customHeight="1" x14ac:dyDescent="0.3">
      <c r="O179" s="42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</row>
    <row r="180" spans="15:33" ht="14.25" customHeight="1" x14ac:dyDescent="0.3">
      <c r="O180" s="42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</row>
    <row r="181" spans="15:33" ht="14.25" customHeight="1" x14ac:dyDescent="0.3">
      <c r="O181" s="42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</row>
    <row r="182" spans="15:33" ht="14.25" customHeight="1" x14ac:dyDescent="0.3">
      <c r="O182" s="42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</row>
    <row r="183" spans="15:33" ht="14.25" customHeight="1" x14ac:dyDescent="0.3">
      <c r="O183" s="42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</row>
    <row r="184" spans="15:33" ht="14.25" customHeight="1" x14ac:dyDescent="0.3">
      <c r="O184" s="42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</row>
    <row r="185" spans="15:33" ht="14.25" customHeight="1" x14ac:dyDescent="0.3">
      <c r="O185" s="42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</row>
    <row r="186" spans="15:33" ht="14.25" customHeight="1" x14ac:dyDescent="0.3">
      <c r="O186" s="42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</row>
    <row r="187" spans="15:33" ht="14.25" customHeight="1" x14ac:dyDescent="0.3">
      <c r="O187" s="42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</row>
    <row r="188" spans="15:33" ht="14.25" customHeight="1" x14ac:dyDescent="0.3">
      <c r="O188" s="42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</row>
    <row r="189" spans="15:33" ht="14.25" customHeight="1" x14ac:dyDescent="0.3">
      <c r="O189" s="42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</row>
    <row r="190" spans="15:33" ht="14.25" customHeight="1" x14ac:dyDescent="0.3">
      <c r="O190" s="42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</row>
    <row r="191" spans="15:33" ht="14.25" customHeight="1" x14ac:dyDescent="0.3">
      <c r="O191" s="42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</row>
    <row r="192" spans="15:33" ht="14.25" customHeight="1" x14ac:dyDescent="0.3">
      <c r="O192" s="42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</row>
    <row r="193" spans="15:33" ht="14.25" customHeight="1" x14ac:dyDescent="0.3">
      <c r="O193" s="42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</row>
    <row r="194" spans="15:33" ht="14.25" customHeight="1" x14ac:dyDescent="0.3">
      <c r="O194" s="42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</row>
    <row r="195" spans="15:33" ht="14.25" customHeight="1" x14ac:dyDescent="0.3">
      <c r="O195" s="42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</row>
    <row r="196" spans="15:33" ht="14.25" customHeight="1" x14ac:dyDescent="0.3">
      <c r="O196" s="42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</row>
    <row r="197" spans="15:33" ht="14.25" customHeight="1" x14ac:dyDescent="0.3">
      <c r="O197" s="42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</row>
    <row r="198" spans="15:33" ht="14.25" customHeight="1" x14ac:dyDescent="0.3">
      <c r="O198" s="42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</row>
    <row r="199" spans="15:33" ht="14.25" customHeight="1" x14ac:dyDescent="0.3">
      <c r="O199" s="42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</row>
    <row r="200" spans="15:33" ht="14.25" customHeight="1" x14ac:dyDescent="0.3">
      <c r="O200" s="42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</row>
    <row r="201" spans="15:33" ht="14.25" customHeight="1" x14ac:dyDescent="0.3">
      <c r="O201" s="42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</row>
    <row r="202" spans="15:33" ht="14.25" customHeight="1" x14ac:dyDescent="0.3">
      <c r="O202" s="42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</row>
    <row r="203" spans="15:33" ht="14.25" customHeight="1" x14ac:dyDescent="0.3">
      <c r="O203" s="42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</row>
    <row r="204" spans="15:33" ht="14.25" customHeight="1" x14ac:dyDescent="0.3">
      <c r="O204" s="42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</row>
    <row r="205" spans="15:33" ht="14.25" customHeight="1" x14ac:dyDescent="0.3">
      <c r="O205" s="42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</row>
    <row r="206" spans="15:33" ht="14.25" customHeight="1" x14ac:dyDescent="0.3">
      <c r="O206" s="42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</row>
    <row r="207" spans="15:33" ht="14.25" customHeight="1" x14ac:dyDescent="0.3">
      <c r="O207" s="42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</row>
    <row r="208" spans="15:33" ht="14.25" customHeight="1" x14ac:dyDescent="0.3">
      <c r="O208" s="42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</row>
    <row r="209" spans="15:33" ht="14.25" customHeight="1" x14ac:dyDescent="0.3">
      <c r="O209" s="42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</row>
    <row r="210" spans="15:33" ht="14.25" customHeight="1" x14ac:dyDescent="0.3">
      <c r="O210" s="42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</row>
    <row r="211" spans="15:33" ht="14.25" customHeight="1" x14ac:dyDescent="0.3">
      <c r="O211" s="42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</row>
    <row r="212" spans="15:33" ht="14.25" customHeight="1" x14ac:dyDescent="0.3">
      <c r="O212" s="42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</row>
    <row r="213" spans="15:33" ht="14.25" customHeight="1" x14ac:dyDescent="0.3">
      <c r="O213" s="42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</row>
    <row r="214" spans="15:33" ht="14.25" customHeight="1" x14ac:dyDescent="0.3">
      <c r="O214" s="42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</row>
    <row r="215" spans="15:33" ht="14.25" customHeight="1" x14ac:dyDescent="0.3">
      <c r="O215" s="42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</row>
    <row r="216" spans="15:33" ht="14.25" customHeight="1" x14ac:dyDescent="0.3">
      <c r="O216" s="42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</row>
    <row r="217" spans="15:33" ht="14.25" customHeight="1" x14ac:dyDescent="0.3">
      <c r="O217" s="42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</row>
    <row r="218" spans="15:33" ht="14.25" customHeight="1" x14ac:dyDescent="0.3">
      <c r="O218" s="42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</row>
    <row r="219" spans="15:33" ht="14.25" customHeight="1" x14ac:dyDescent="0.3">
      <c r="O219" s="42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</row>
    <row r="220" spans="15:33" ht="14.25" customHeight="1" x14ac:dyDescent="0.3">
      <c r="O220" s="42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</row>
    <row r="221" spans="15:33" ht="14.25" customHeight="1" x14ac:dyDescent="0.3">
      <c r="O221" s="42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</row>
    <row r="222" spans="15:33" ht="14.25" customHeight="1" x14ac:dyDescent="0.3">
      <c r="O222" s="42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</row>
    <row r="223" spans="15:33" ht="14.25" customHeight="1" x14ac:dyDescent="0.3">
      <c r="O223" s="42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</row>
    <row r="224" spans="15:33" ht="14.25" customHeight="1" x14ac:dyDescent="0.3">
      <c r="O224" s="42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</row>
    <row r="225" spans="15:33" ht="14.25" customHeight="1" x14ac:dyDescent="0.3">
      <c r="O225" s="42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</row>
    <row r="226" spans="15:33" ht="14.25" customHeight="1" x14ac:dyDescent="0.3">
      <c r="O226" s="42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</row>
    <row r="227" spans="15:33" ht="14.25" customHeight="1" x14ac:dyDescent="0.3">
      <c r="O227" s="42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</row>
    <row r="228" spans="15:33" ht="14.25" customHeight="1" x14ac:dyDescent="0.3">
      <c r="O228" s="42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</row>
    <row r="229" spans="15:33" ht="14.25" customHeight="1" x14ac:dyDescent="0.3">
      <c r="O229" s="42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</row>
    <row r="230" spans="15:33" ht="14.25" customHeight="1" x14ac:dyDescent="0.3">
      <c r="O230" s="42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</row>
    <row r="231" spans="15:33" ht="14.25" customHeight="1" x14ac:dyDescent="0.3">
      <c r="O231" s="42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</row>
    <row r="232" spans="15:33" ht="14.25" customHeight="1" x14ac:dyDescent="0.3">
      <c r="O232" s="42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</row>
    <row r="233" spans="15:33" ht="14.25" customHeight="1" x14ac:dyDescent="0.3">
      <c r="O233" s="42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</row>
    <row r="234" spans="15:33" ht="14.25" customHeight="1" x14ac:dyDescent="0.3">
      <c r="O234" s="42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</row>
    <row r="235" spans="15:33" ht="14.25" customHeight="1" x14ac:dyDescent="0.3">
      <c r="O235" s="42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</row>
    <row r="236" spans="15:33" ht="14.25" customHeight="1" x14ac:dyDescent="0.3">
      <c r="O236" s="42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</row>
    <row r="237" spans="15:33" ht="14.25" customHeight="1" x14ac:dyDescent="0.3">
      <c r="O237" s="42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</row>
    <row r="238" spans="15:33" ht="14.25" customHeight="1" x14ac:dyDescent="0.3">
      <c r="O238" s="42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</row>
    <row r="239" spans="15:33" ht="14.25" customHeight="1" x14ac:dyDescent="0.3">
      <c r="O239" s="42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</row>
    <row r="240" spans="15:33" ht="14.25" customHeight="1" x14ac:dyDescent="0.3">
      <c r="O240" s="42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</row>
    <row r="241" spans="15:33" ht="14.25" customHeight="1" x14ac:dyDescent="0.3">
      <c r="O241" s="42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</row>
    <row r="242" spans="15:33" ht="14.25" customHeight="1" x14ac:dyDescent="0.3">
      <c r="O242" s="42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</row>
    <row r="243" spans="15:33" ht="14.25" customHeight="1" x14ac:dyDescent="0.3">
      <c r="O243" s="42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</row>
    <row r="244" spans="15:33" ht="14.25" customHeight="1" x14ac:dyDescent="0.3">
      <c r="O244" s="42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</row>
    <row r="245" spans="15:33" ht="14.25" customHeight="1" x14ac:dyDescent="0.3">
      <c r="O245" s="42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</row>
    <row r="246" spans="15:33" ht="14.25" customHeight="1" x14ac:dyDescent="0.3">
      <c r="O246" s="42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</row>
    <row r="247" spans="15:33" ht="14.25" customHeight="1" x14ac:dyDescent="0.3">
      <c r="O247" s="42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</row>
    <row r="248" spans="15:33" ht="14.25" customHeight="1" x14ac:dyDescent="0.3">
      <c r="O248" s="42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</row>
    <row r="249" spans="15:33" ht="14.25" customHeight="1" x14ac:dyDescent="0.3">
      <c r="O249" s="42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</row>
    <row r="250" spans="15:33" ht="14.25" customHeight="1" x14ac:dyDescent="0.3">
      <c r="O250" s="42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</row>
    <row r="251" spans="15:33" ht="14.25" customHeight="1" x14ac:dyDescent="0.3">
      <c r="O251" s="42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</row>
    <row r="252" spans="15:33" ht="14.25" customHeight="1" x14ac:dyDescent="0.3">
      <c r="O252" s="42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</row>
    <row r="253" spans="15:33" ht="14.25" customHeight="1" x14ac:dyDescent="0.3">
      <c r="O253" s="42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</row>
    <row r="254" spans="15:33" ht="14.25" customHeight="1" x14ac:dyDescent="0.3">
      <c r="O254" s="42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</row>
    <row r="255" spans="15:33" ht="14.25" customHeight="1" x14ac:dyDescent="0.3">
      <c r="O255" s="42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</row>
    <row r="256" spans="15:33" ht="14.25" customHeight="1" x14ac:dyDescent="0.3">
      <c r="O256" s="42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</row>
    <row r="257" spans="15:33" ht="14.25" customHeight="1" x14ac:dyDescent="0.3">
      <c r="O257" s="42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</row>
    <row r="258" spans="15:33" ht="14.25" customHeight="1" x14ac:dyDescent="0.3">
      <c r="O258" s="42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</row>
    <row r="259" spans="15:33" ht="14.25" customHeight="1" x14ac:dyDescent="0.3">
      <c r="O259" s="42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</row>
    <row r="260" spans="15:33" ht="14.25" customHeight="1" x14ac:dyDescent="0.3">
      <c r="O260" s="42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</row>
    <row r="261" spans="15:33" ht="14.25" customHeight="1" x14ac:dyDescent="0.3">
      <c r="O261" s="42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</row>
    <row r="262" spans="15:33" ht="14.25" customHeight="1" x14ac:dyDescent="0.3">
      <c r="O262" s="42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</row>
    <row r="263" spans="15:33" ht="14.25" customHeight="1" x14ac:dyDescent="0.3">
      <c r="O263" s="42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</row>
    <row r="264" spans="15:33" ht="14.25" customHeight="1" x14ac:dyDescent="0.3">
      <c r="O264" s="42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</row>
    <row r="265" spans="15:33" ht="14.25" customHeight="1" x14ac:dyDescent="0.3">
      <c r="O265" s="42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</row>
    <row r="266" spans="15:33" ht="14.25" customHeight="1" x14ac:dyDescent="0.3">
      <c r="O266" s="42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</row>
    <row r="267" spans="15:33" ht="14.25" customHeight="1" x14ac:dyDescent="0.3">
      <c r="O267" s="42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</row>
    <row r="268" spans="15:33" ht="14.25" customHeight="1" x14ac:dyDescent="0.3">
      <c r="O268" s="42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</row>
    <row r="269" spans="15:33" ht="14.25" customHeight="1" x14ac:dyDescent="0.3">
      <c r="O269" s="42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</row>
    <row r="270" spans="15:33" ht="14.25" customHeight="1" x14ac:dyDescent="0.3">
      <c r="O270" s="42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</row>
    <row r="271" spans="15:33" ht="14.25" customHeight="1" x14ac:dyDescent="0.3">
      <c r="O271" s="42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</row>
    <row r="272" spans="15:33" ht="14.25" customHeight="1" x14ac:dyDescent="0.3">
      <c r="O272" s="42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</row>
    <row r="273" spans="15:33" ht="14.25" customHeight="1" x14ac:dyDescent="0.3">
      <c r="O273" s="42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</row>
    <row r="274" spans="15:33" ht="14.25" customHeight="1" x14ac:dyDescent="0.3">
      <c r="O274" s="42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</row>
    <row r="275" spans="15:33" ht="14.25" customHeight="1" x14ac:dyDescent="0.3">
      <c r="O275" s="42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</row>
    <row r="276" spans="15:33" ht="14.25" customHeight="1" x14ac:dyDescent="0.3">
      <c r="O276" s="42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</row>
    <row r="277" spans="15:33" ht="14.25" customHeight="1" x14ac:dyDescent="0.3">
      <c r="O277" s="42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</row>
    <row r="278" spans="15:33" ht="14.25" customHeight="1" x14ac:dyDescent="0.3">
      <c r="O278" s="42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</row>
    <row r="279" spans="15:33" ht="14.25" customHeight="1" x14ac:dyDescent="0.3">
      <c r="O279" s="42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</row>
    <row r="280" spans="15:33" ht="14.25" customHeight="1" x14ac:dyDescent="0.3">
      <c r="O280" s="42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</row>
    <row r="281" spans="15:33" ht="14.25" customHeight="1" x14ac:dyDescent="0.3">
      <c r="O281" s="42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</row>
    <row r="282" spans="15:33" ht="14.25" customHeight="1" x14ac:dyDescent="0.3">
      <c r="O282" s="42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</row>
    <row r="283" spans="15:33" ht="14.25" customHeight="1" x14ac:dyDescent="0.3">
      <c r="O283" s="42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</row>
    <row r="284" spans="15:33" ht="14.25" customHeight="1" x14ac:dyDescent="0.3">
      <c r="O284" s="42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</row>
    <row r="285" spans="15:33" ht="14.25" customHeight="1" x14ac:dyDescent="0.3">
      <c r="O285" s="42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</row>
    <row r="286" spans="15:33" ht="14.25" customHeight="1" x14ac:dyDescent="0.3">
      <c r="O286" s="42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</row>
    <row r="287" spans="15:33" ht="14.25" customHeight="1" x14ac:dyDescent="0.3">
      <c r="O287" s="42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</row>
    <row r="288" spans="15:33" ht="14.25" customHeight="1" x14ac:dyDescent="0.3">
      <c r="O288" s="42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</row>
    <row r="289" spans="15:33" ht="14.25" customHeight="1" x14ac:dyDescent="0.3">
      <c r="O289" s="42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</row>
    <row r="290" spans="15:33" ht="14.25" customHeight="1" x14ac:dyDescent="0.3">
      <c r="O290" s="42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</row>
    <row r="291" spans="15:33" ht="14.25" customHeight="1" x14ac:dyDescent="0.3">
      <c r="O291" s="42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</row>
    <row r="292" spans="15:33" ht="14.25" customHeight="1" x14ac:dyDescent="0.3">
      <c r="O292" s="42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</row>
    <row r="293" spans="15:33" ht="14.25" customHeight="1" x14ac:dyDescent="0.3">
      <c r="O293" s="42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</row>
    <row r="294" spans="15:33" ht="14.25" customHeight="1" x14ac:dyDescent="0.3">
      <c r="O294" s="42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</row>
    <row r="295" spans="15:33" ht="14.25" customHeight="1" x14ac:dyDescent="0.3">
      <c r="O295" s="42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</row>
    <row r="296" spans="15:33" ht="14.25" customHeight="1" x14ac:dyDescent="0.3">
      <c r="O296" s="42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</row>
    <row r="297" spans="15:33" ht="14.25" customHeight="1" x14ac:dyDescent="0.3">
      <c r="O297" s="42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</row>
    <row r="298" spans="15:33" ht="14.25" customHeight="1" x14ac:dyDescent="0.3">
      <c r="O298" s="42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</row>
    <row r="299" spans="15:33" ht="14.25" customHeight="1" x14ac:dyDescent="0.3">
      <c r="O299" s="42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</row>
    <row r="300" spans="15:33" ht="14.25" customHeight="1" x14ac:dyDescent="0.3">
      <c r="O300" s="42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</row>
    <row r="301" spans="15:33" ht="14.25" customHeight="1" x14ac:dyDescent="0.3">
      <c r="O301" s="42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</row>
    <row r="302" spans="15:33" ht="14.25" customHeight="1" x14ac:dyDescent="0.3">
      <c r="O302" s="42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</row>
    <row r="303" spans="15:33" ht="14.25" customHeight="1" x14ac:dyDescent="0.3">
      <c r="O303" s="42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</row>
    <row r="304" spans="15:33" ht="14.25" customHeight="1" x14ac:dyDescent="0.3">
      <c r="O304" s="42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</row>
    <row r="305" spans="15:33" ht="14.25" customHeight="1" x14ac:dyDescent="0.3">
      <c r="O305" s="42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</row>
    <row r="306" spans="15:33" ht="14.25" customHeight="1" x14ac:dyDescent="0.3">
      <c r="O306" s="42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</row>
    <row r="307" spans="15:33" ht="14.25" customHeight="1" x14ac:dyDescent="0.3">
      <c r="O307" s="42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</row>
    <row r="308" spans="15:33" ht="14.25" customHeight="1" x14ac:dyDescent="0.3">
      <c r="O308" s="42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</row>
    <row r="309" spans="15:33" ht="14.25" customHeight="1" x14ac:dyDescent="0.3">
      <c r="O309" s="42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</row>
    <row r="310" spans="15:33" ht="14.25" customHeight="1" x14ac:dyDescent="0.3">
      <c r="O310" s="42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</row>
    <row r="311" spans="15:33" ht="14.25" customHeight="1" x14ac:dyDescent="0.3">
      <c r="O311" s="42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</row>
    <row r="312" spans="15:33" ht="14.25" customHeight="1" x14ac:dyDescent="0.3">
      <c r="O312" s="42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</row>
    <row r="313" spans="15:33" ht="14.25" customHeight="1" x14ac:dyDescent="0.3">
      <c r="O313" s="42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</row>
    <row r="314" spans="15:33" ht="14.25" customHeight="1" x14ac:dyDescent="0.3">
      <c r="O314" s="42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</row>
    <row r="315" spans="15:33" ht="14.25" customHeight="1" x14ac:dyDescent="0.3">
      <c r="O315" s="42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</row>
    <row r="316" spans="15:33" ht="14.25" customHeight="1" x14ac:dyDescent="0.3">
      <c r="O316" s="42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</row>
    <row r="317" spans="15:33" ht="14.25" customHeight="1" x14ac:dyDescent="0.3">
      <c r="O317" s="42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</row>
    <row r="318" spans="15:33" ht="14.25" customHeight="1" x14ac:dyDescent="0.3">
      <c r="O318" s="42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</row>
    <row r="319" spans="15:33" ht="14.25" customHeight="1" x14ac:dyDescent="0.3">
      <c r="O319" s="42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</row>
    <row r="320" spans="15:33" ht="14.25" customHeight="1" x14ac:dyDescent="0.3">
      <c r="O320" s="42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</row>
    <row r="321" spans="15:33" ht="14.25" customHeight="1" x14ac:dyDescent="0.3">
      <c r="O321" s="42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</row>
    <row r="322" spans="15:33" ht="14.25" customHeight="1" x14ac:dyDescent="0.3">
      <c r="O322" s="42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</row>
    <row r="323" spans="15:33" ht="14.25" customHeight="1" x14ac:dyDescent="0.3">
      <c r="O323" s="42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</row>
    <row r="324" spans="15:33" ht="14.25" customHeight="1" x14ac:dyDescent="0.3">
      <c r="O324" s="42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</row>
    <row r="325" spans="15:33" ht="14.25" customHeight="1" x14ac:dyDescent="0.3">
      <c r="O325" s="42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</row>
    <row r="326" spans="15:33" ht="14.25" customHeight="1" x14ac:dyDescent="0.3">
      <c r="O326" s="42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</row>
    <row r="327" spans="15:33" ht="14.25" customHeight="1" x14ac:dyDescent="0.3">
      <c r="O327" s="42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</row>
    <row r="328" spans="15:33" ht="14.25" customHeight="1" x14ac:dyDescent="0.3">
      <c r="O328" s="42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</row>
    <row r="329" spans="15:33" ht="14.25" customHeight="1" x14ac:dyDescent="0.3">
      <c r="O329" s="42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</row>
    <row r="330" spans="15:33" ht="14.25" customHeight="1" x14ac:dyDescent="0.3">
      <c r="O330" s="42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</row>
    <row r="331" spans="15:33" ht="14.25" customHeight="1" x14ac:dyDescent="0.3">
      <c r="O331" s="42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</row>
    <row r="332" spans="15:33" ht="14.25" customHeight="1" x14ac:dyDescent="0.3">
      <c r="O332" s="42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</row>
    <row r="333" spans="15:33" ht="14.25" customHeight="1" x14ac:dyDescent="0.3">
      <c r="O333" s="42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</row>
    <row r="334" spans="15:33" ht="14.25" customHeight="1" x14ac:dyDescent="0.3">
      <c r="O334" s="42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</row>
    <row r="335" spans="15:33" ht="14.25" customHeight="1" x14ac:dyDescent="0.3">
      <c r="O335" s="42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</row>
    <row r="336" spans="15:33" ht="14.25" customHeight="1" x14ac:dyDescent="0.3">
      <c r="O336" s="42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</row>
    <row r="337" spans="15:33" ht="14.25" customHeight="1" x14ac:dyDescent="0.3">
      <c r="O337" s="42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</row>
    <row r="338" spans="15:33" ht="14.25" customHeight="1" x14ac:dyDescent="0.3">
      <c r="O338" s="42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</row>
    <row r="339" spans="15:33" ht="14.25" customHeight="1" x14ac:dyDescent="0.3">
      <c r="O339" s="42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</row>
    <row r="340" spans="15:33" ht="14.25" customHeight="1" x14ac:dyDescent="0.3">
      <c r="O340" s="42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</row>
    <row r="341" spans="15:33" ht="14.25" customHeight="1" x14ac:dyDescent="0.3">
      <c r="O341" s="42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</row>
    <row r="342" spans="15:33" ht="14.25" customHeight="1" x14ac:dyDescent="0.3">
      <c r="O342" s="42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</row>
    <row r="343" spans="15:33" ht="14.25" customHeight="1" x14ac:dyDescent="0.3">
      <c r="O343" s="42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</row>
    <row r="344" spans="15:33" ht="14.25" customHeight="1" x14ac:dyDescent="0.3">
      <c r="O344" s="42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</row>
    <row r="345" spans="15:33" ht="14.25" customHeight="1" x14ac:dyDescent="0.3">
      <c r="O345" s="42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</row>
    <row r="346" spans="15:33" ht="14.25" customHeight="1" x14ac:dyDescent="0.3">
      <c r="O346" s="42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</row>
    <row r="347" spans="15:33" ht="14.25" customHeight="1" x14ac:dyDescent="0.3">
      <c r="O347" s="42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</row>
    <row r="348" spans="15:33" ht="14.25" customHeight="1" x14ac:dyDescent="0.3">
      <c r="O348" s="42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</row>
    <row r="349" spans="15:33" ht="14.25" customHeight="1" x14ac:dyDescent="0.3">
      <c r="O349" s="42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</row>
    <row r="350" spans="15:33" ht="14.25" customHeight="1" x14ac:dyDescent="0.3">
      <c r="O350" s="42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</row>
    <row r="351" spans="15:33" ht="14.25" customHeight="1" x14ac:dyDescent="0.3">
      <c r="O351" s="42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</row>
    <row r="352" spans="15:33" ht="14.25" customHeight="1" x14ac:dyDescent="0.3">
      <c r="O352" s="42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</row>
    <row r="353" spans="15:33" ht="14.25" customHeight="1" x14ac:dyDescent="0.3">
      <c r="O353" s="42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</row>
    <row r="354" spans="15:33" ht="14.25" customHeight="1" x14ac:dyDescent="0.3">
      <c r="O354" s="42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</row>
    <row r="355" spans="15:33" ht="14.25" customHeight="1" x14ac:dyDescent="0.3">
      <c r="O355" s="42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</row>
    <row r="356" spans="15:33" ht="14.25" customHeight="1" x14ac:dyDescent="0.3">
      <c r="O356" s="42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</row>
    <row r="357" spans="15:33" ht="14.25" customHeight="1" x14ac:dyDescent="0.3">
      <c r="O357" s="42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</row>
    <row r="358" spans="15:33" ht="14.25" customHeight="1" x14ac:dyDescent="0.3">
      <c r="O358" s="42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</row>
    <row r="359" spans="15:33" ht="14.25" customHeight="1" x14ac:dyDescent="0.3">
      <c r="O359" s="42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</row>
    <row r="360" spans="15:33" ht="14.25" customHeight="1" x14ac:dyDescent="0.3">
      <c r="O360" s="42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</row>
    <row r="361" spans="15:33" ht="14.25" customHeight="1" x14ac:dyDescent="0.3">
      <c r="O361" s="42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</row>
    <row r="362" spans="15:33" ht="14.25" customHeight="1" x14ac:dyDescent="0.3">
      <c r="O362" s="42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</row>
    <row r="363" spans="15:33" ht="14.25" customHeight="1" x14ac:dyDescent="0.3">
      <c r="O363" s="42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</row>
    <row r="364" spans="15:33" ht="14.25" customHeight="1" x14ac:dyDescent="0.3">
      <c r="O364" s="42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</row>
    <row r="365" spans="15:33" ht="14.25" customHeight="1" x14ac:dyDescent="0.3">
      <c r="O365" s="42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</row>
    <row r="366" spans="15:33" ht="14.25" customHeight="1" x14ac:dyDescent="0.3">
      <c r="O366" s="42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</row>
    <row r="367" spans="15:33" ht="14.25" customHeight="1" x14ac:dyDescent="0.3">
      <c r="O367" s="42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</row>
    <row r="368" spans="15:33" ht="14.25" customHeight="1" x14ac:dyDescent="0.3">
      <c r="O368" s="42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</row>
    <row r="369" spans="15:33" ht="14.25" customHeight="1" x14ac:dyDescent="0.3">
      <c r="O369" s="42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</row>
    <row r="370" spans="15:33" ht="14.25" customHeight="1" x14ac:dyDescent="0.3">
      <c r="O370" s="42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</row>
    <row r="371" spans="15:33" ht="14.25" customHeight="1" x14ac:dyDescent="0.3">
      <c r="O371" s="42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</row>
    <row r="372" spans="15:33" ht="14.25" customHeight="1" x14ac:dyDescent="0.3">
      <c r="O372" s="42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</row>
    <row r="373" spans="15:33" ht="14.25" customHeight="1" x14ac:dyDescent="0.3">
      <c r="O373" s="42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</row>
    <row r="374" spans="15:33" ht="14.25" customHeight="1" x14ac:dyDescent="0.3">
      <c r="O374" s="42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</row>
    <row r="375" spans="15:33" ht="14.25" customHeight="1" x14ac:dyDescent="0.3">
      <c r="O375" s="42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</row>
    <row r="376" spans="15:33" ht="14.25" customHeight="1" x14ac:dyDescent="0.3">
      <c r="O376" s="42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</row>
    <row r="377" spans="15:33" ht="14.25" customHeight="1" x14ac:dyDescent="0.3">
      <c r="O377" s="42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</row>
    <row r="378" spans="15:33" ht="14.25" customHeight="1" x14ac:dyDescent="0.3">
      <c r="O378" s="42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</row>
    <row r="379" spans="15:33" ht="14.25" customHeight="1" x14ac:dyDescent="0.3">
      <c r="O379" s="42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</row>
    <row r="380" spans="15:33" ht="14.25" customHeight="1" x14ac:dyDescent="0.3">
      <c r="O380" s="42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</row>
    <row r="381" spans="15:33" ht="14.25" customHeight="1" x14ac:dyDescent="0.3">
      <c r="O381" s="42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</row>
    <row r="382" spans="15:33" ht="14.25" customHeight="1" x14ac:dyDescent="0.3">
      <c r="O382" s="42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</row>
    <row r="383" spans="15:33" ht="14.25" customHeight="1" x14ac:dyDescent="0.3">
      <c r="O383" s="42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</row>
    <row r="384" spans="15:33" ht="14.25" customHeight="1" x14ac:dyDescent="0.3">
      <c r="O384" s="42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</row>
    <row r="385" spans="15:33" ht="14.25" customHeight="1" x14ac:dyDescent="0.3">
      <c r="O385" s="42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</row>
    <row r="386" spans="15:33" ht="14.25" customHeight="1" x14ac:dyDescent="0.3">
      <c r="O386" s="42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</row>
    <row r="387" spans="15:33" ht="14.25" customHeight="1" x14ac:dyDescent="0.3">
      <c r="O387" s="42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</row>
    <row r="388" spans="15:33" ht="14.25" customHeight="1" x14ac:dyDescent="0.3">
      <c r="O388" s="42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</row>
    <row r="389" spans="15:33" ht="14.25" customHeight="1" x14ac:dyDescent="0.3">
      <c r="O389" s="42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</row>
    <row r="390" spans="15:33" ht="14.25" customHeight="1" x14ac:dyDescent="0.3">
      <c r="O390" s="42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</row>
    <row r="391" spans="15:33" ht="14.25" customHeight="1" x14ac:dyDescent="0.3">
      <c r="O391" s="42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</row>
    <row r="392" spans="15:33" ht="14.25" customHeight="1" x14ac:dyDescent="0.3">
      <c r="O392" s="42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</row>
    <row r="393" spans="15:33" ht="14.25" customHeight="1" x14ac:dyDescent="0.3">
      <c r="O393" s="42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</row>
    <row r="394" spans="15:33" ht="14.25" customHeight="1" x14ac:dyDescent="0.3">
      <c r="O394" s="42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</row>
    <row r="395" spans="15:33" ht="14.25" customHeight="1" x14ac:dyDescent="0.3">
      <c r="O395" s="42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</row>
    <row r="396" spans="15:33" ht="14.25" customHeight="1" x14ac:dyDescent="0.3">
      <c r="O396" s="42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</row>
    <row r="397" spans="15:33" ht="14.25" customHeight="1" x14ac:dyDescent="0.3">
      <c r="O397" s="42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</row>
    <row r="398" spans="15:33" ht="14.25" customHeight="1" x14ac:dyDescent="0.3">
      <c r="O398" s="42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</row>
    <row r="399" spans="15:33" ht="14.25" customHeight="1" x14ac:dyDescent="0.3">
      <c r="O399" s="42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</row>
    <row r="400" spans="15:33" ht="14.25" customHeight="1" x14ac:dyDescent="0.3">
      <c r="O400" s="42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</row>
    <row r="401" spans="15:33" ht="14.25" customHeight="1" x14ac:dyDescent="0.3">
      <c r="O401" s="42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</row>
    <row r="402" spans="15:33" ht="14.25" customHeight="1" x14ac:dyDescent="0.3">
      <c r="O402" s="42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</row>
    <row r="403" spans="15:33" ht="14.25" customHeight="1" x14ac:dyDescent="0.3">
      <c r="O403" s="42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</row>
    <row r="404" spans="15:33" ht="14.25" customHeight="1" x14ac:dyDescent="0.3">
      <c r="O404" s="42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</row>
    <row r="405" spans="15:33" ht="14.25" customHeight="1" x14ac:dyDescent="0.3">
      <c r="O405" s="42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</row>
    <row r="406" spans="15:33" ht="14.25" customHeight="1" x14ac:dyDescent="0.3">
      <c r="O406" s="42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</row>
    <row r="407" spans="15:33" ht="14.25" customHeight="1" x14ac:dyDescent="0.3">
      <c r="O407" s="42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</row>
    <row r="408" spans="15:33" ht="14.25" customHeight="1" x14ac:dyDescent="0.3">
      <c r="O408" s="42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</row>
    <row r="409" spans="15:33" ht="14.25" customHeight="1" x14ac:dyDescent="0.3">
      <c r="O409" s="42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</row>
    <row r="410" spans="15:33" ht="14.25" customHeight="1" x14ac:dyDescent="0.3">
      <c r="O410" s="42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</row>
    <row r="411" spans="15:33" ht="14.25" customHeight="1" x14ac:dyDescent="0.3">
      <c r="O411" s="42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</row>
    <row r="412" spans="15:33" ht="14.25" customHeight="1" x14ac:dyDescent="0.3">
      <c r="O412" s="42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</row>
    <row r="413" spans="15:33" ht="14.25" customHeight="1" x14ac:dyDescent="0.3">
      <c r="O413" s="42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</row>
    <row r="414" spans="15:33" ht="14.25" customHeight="1" x14ac:dyDescent="0.3">
      <c r="O414" s="42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</row>
    <row r="415" spans="15:33" ht="14.25" customHeight="1" x14ac:dyDescent="0.3">
      <c r="O415" s="42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</row>
    <row r="416" spans="15:33" ht="14.25" customHeight="1" x14ac:dyDescent="0.3">
      <c r="O416" s="42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</row>
    <row r="417" spans="15:33" ht="14.25" customHeight="1" x14ac:dyDescent="0.3">
      <c r="O417" s="42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</row>
    <row r="418" spans="15:33" ht="14.25" customHeight="1" x14ac:dyDescent="0.3">
      <c r="O418" s="42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</row>
    <row r="419" spans="15:33" ht="14.25" customHeight="1" x14ac:dyDescent="0.3">
      <c r="O419" s="42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</row>
    <row r="420" spans="15:33" ht="14.25" customHeight="1" x14ac:dyDescent="0.3">
      <c r="O420" s="42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</row>
    <row r="421" spans="15:33" ht="14.25" customHeight="1" x14ac:dyDescent="0.3">
      <c r="O421" s="42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</row>
    <row r="422" spans="15:33" ht="14.25" customHeight="1" x14ac:dyDescent="0.3">
      <c r="O422" s="42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</row>
    <row r="423" spans="15:33" ht="14.25" customHeight="1" x14ac:dyDescent="0.3">
      <c r="O423" s="42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</row>
    <row r="424" spans="15:33" ht="14.25" customHeight="1" x14ac:dyDescent="0.3">
      <c r="O424" s="42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</row>
    <row r="425" spans="15:33" ht="14.25" customHeight="1" x14ac:dyDescent="0.3">
      <c r="O425" s="42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</row>
    <row r="426" spans="15:33" ht="14.25" customHeight="1" x14ac:dyDescent="0.3">
      <c r="O426" s="42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</row>
    <row r="427" spans="15:33" ht="14.25" customHeight="1" x14ac:dyDescent="0.3">
      <c r="O427" s="42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</row>
    <row r="428" spans="15:33" ht="14.25" customHeight="1" x14ac:dyDescent="0.3">
      <c r="O428" s="42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</row>
    <row r="429" spans="15:33" ht="14.25" customHeight="1" x14ac:dyDescent="0.3">
      <c r="O429" s="42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</row>
    <row r="430" spans="15:33" ht="14.25" customHeight="1" x14ac:dyDescent="0.3">
      <c r="O430" s="42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</row>
    <row r="431" spans="15:33" ht="14.25" customHeight="1" x14ac:dyDescent="0.3">
      <c r="O431" s="42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</row>
    <row r="432" spans="15:33" ht="14.25" customHeight="1" x14ac:dyDescent="0.3">
      <c r="O432" s="42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</row>
    <row r="433" spans="15:33" ht="14.25" customHeight="1" x14ac:dyDescent="0.3">
      <c r="O433" s="42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</row>
    <row r="434" spans="15:33" ht="14.25" customHeight="1" x14ac:dyDescent="0.3">
      <c r="O434" s="42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</row>
    <row r="435" spans="15:33" ht="14.25" customHeight="1" x14ac:dyDescent="0.3">
      <c r="O435" s="42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</row>
    <row r="436" spans="15:33" ht="14.25" customHeight="1" x14ac:dyDescent="0.3">
      <c r="O436" s="42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</row>
    <row r="437" spans="15:33" ht="14.25" customHeight="1" x14ac:dyDescent="0.3">
      <c r="O437" s="42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</row>
    <row r="438" spans="15:33" ht="14.25" customHeight="1" x14ac:dyDescent="0.3">
      <c r="O438" s="42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</row>
    <row r="439" spans="15:33" ht="14.25" customHeight="1" x14ac:dyDescent="0.3">
      <c r="O439" s="42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</row>
    <row r="440" spans="15:33" ht="14.25" customHeight="1" x14ac:dyDescent="0.3">
      <c r="O440" s="42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</row>
    <row r="441" spans="15:33" ht="14.25" customHeight="1" x14ac:dyDescent="0.3">
      <c r="O441" s="42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</row>
    <row r="442" spans="15:33" ht="14.25" customHeight="1" x14ac:dyDescent="0.3">
      <c r="O442" s="42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</row>
    <row r="443" spans="15:33" ht="14.25" customHeight="1" x14ac:dyDescent="0.3">
      <c r="O443" s="42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</row>
    <row r="444" spans="15:33" ht="14.25" customHeight="1" x14ac:dyDescent="0.3">
      <c r="O444" s="42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</row>
    <row r="445" spans="15:33" ht="14.25" customHeight="1" x14ac:dyDescent="0.3">
      <c r="O445" s="42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</row>
    <row r="446" spans="15:33" ht="14.25" customHeight="1" x14ac:dyDescent="0.3">
      <c r="O446" s="42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</row>
    <row r="447" spans="15:33" ht="14.25" customHeight="1" x14ac:dyDescent="0.3">
      <c r="O447" s="42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</row>
    <row r="448" spans="15:33" ht="14.25" customHeight="1" x14ac:dyDescent="0.3">
      <c r="O448" s="42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</row>
    <row r="449" spans="15:33" ht="14.25" customHeight="1" x14ac:dyDescent="0.3">
      <c r="O449" s="42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</row>
    <row r="450" spans="15:33" ht="14.25" customHeight="1" x14ac:dyDescent="0.3">
      <c r="O450" s="42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</row>
    <row r="451" spans="15:33" ht="14.25" customHeight="1" x14ac:dyDescent="0.3">
      <c r="O451" s="42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</row>
    <row r="452" spans="15:33" ht="14.25" customHeight="1" x14ac:dyDescent="0.3">
      <c r="O452" s="42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</row>
    <row r="453" spans="15:33" ht="14.25" customHeight="1" x14ac:dyDescent="0.3">
      <c r="O453" s="42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</row>
    <row r="454" spans="15:33" ht="14.25" customHeight="1" x14ac:dyDescent="0.3">
      <c r="O454" s="42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</row>
    <row r="455" spans="15:33" ht="14.25" customHeight="1" x14ac:dyDescent="0.3">
      <c r="O455" s="42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</row>
    <row r="456" spans="15:33" ht="14.25" customHeight="1" x14ac:dyDescent="0.3">
      <c r="O456" s="42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</row>
    <row r="457" spans="15:33" ht="14.25" customHeight="1" x14ac:dyDescent="0.3">
      <c r="O457" s="42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</row>
    <row r="458" spans="15:33" ht="14.25" customHeight="1" x14ac:dyDescent="0.3">
      <c r="O458" s="42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</row>
    <row r="459" spans="15:33" ht="14.25" customHeight="1" x14ac:dyDescent="0.3">
      <c r="O459" s="42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</row>
    <row r="460" spans="15:33" ht="14.25" customHeight="1" x14ac:dyDescent="0.3">
      <c r="O460" s="42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</row>
    <row r="461" spans="15:33" ht="14.25" customHeight="1" x14ac:dyDescent="0.3">
      <c r="O461" s="42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</row>
    <row r="462" spans="15:33" ht="14.25" customHeight="1" x14ac:dyDescent="0.3">
      <c r="O462" s="42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</row>
    <row r="463" spans="15:33" ht="14.25" customHeight="1" x14ac:dyDescent="0.3">
      <c r="O463" s="42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</row>
    <row r="464" spans="15:33" ht="14.25" customHeight="1" x14ac:dyDescent="0.3">
      <c r="O464" s="42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</row>
    <row r="465" spans="15:33" ht="14.25" customHeight="1" x14ac:dyDescent="0.3">
      <c r="O465" s="42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</row>
    <row r="466" spans="15:33" ht="14.25" customHeight="1" x14ac:dyDescent="0.3">
      <c r="O466" s="42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</row>
    <row r="467" spans="15:33" ht="14.25" customHeight="1" x14ac:dyDescent="0.3">
      <c r="O467" s="42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</row>
    <row r="468" spans="15:33" ht="14.25" customHeight="1" x14ac:dyDescent="0.3">
      <c r="O468" s="42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</row>
    <row r="469" spans="15:33" ht="14.25" customHeight="1" x14ac:dyDescent="0.3">
      <c r="O469" s="42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</row>
    <row r="470" spans="15:33" ht="14.25" customHeight="1" x14ac:dyDescent="0.3">
      <c r="O470" s="42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</row>
    <row r="471" spans="15:33" ht="14.25" customHeight="1" x14ac:dyDescent="0.3">
      <c r="O471" s="42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</row>
    <row r="472" spans="15:33" ht="14.25" customHeight="1" x14ac:dyDescent="0.3">
      <c r="O472" s="42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</row>
    <row r="473" spans="15:33" ht="14.25" customHeight="1" x14ac:dyDescent="0.3">
      <c r="O473" s="42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</row>
    <row r="474" spans="15:33" ht="14.25" customHeight="1" x14ac:dyDescent="0.3">
      <c r="O474" s="42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</row>
    <row r="475" spans="15:33" ht="14.25" customHeight="1" x14ac:dyDescent="0.3">
      <c r="O475" s="42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</row>
    <row r="476" spans="15:33" ht="14.25" customHeight="1" x14ac:dyDescent="0.3">
      <c r="O476" s="42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</row>
    <row r="477" spans="15:33" ht="14.25" customHeight="1" x14ac:dyDescent="0.3">
      <c r="O477" s="42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</row>
    <row r="478" spans="15:33" ht="14.25" customHeight="1" x14ac:dyDescent="0.3">
      <c r="O478" s="42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</row>
    <row r="479" spans="15:33" ht="14.25" customHeight="1" x14ac:dyDescent="0.3">
      <c r="O479" s="42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</row>
    <row r="480" spans="15:33" ht="14.25" customHeight="1" x14ac:dyDescent="0.3">
      <c r="O480" s="42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</row>
    <row r="481" spans="15:33" ht="14.25" customHeight="1" x14ac:dyDescent="0.3">
      <c r="O481" s="42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</row>
    <row r="482" spans="15:33" ht="14.25" customHeight="1" x14ac:dyDescent="0.3">
      <c r="O482" s="42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</row>
    <row r="483" spans="15:33" ht="14.25" customHeight="1" x14ac:dyDescent="0.3">
      <c r="O483" s="42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</row>
    <row r="484" spans="15:33" ht="14.25" customHeight="1" x14ac:dyDescent="0.3">
      <c r="O484" s="42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</row>
    <row r="485" spans="15:33" ht="14.25" customHeight="1" x14ac:dyDescent="0.3">
      <c r="O485" s="42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</row>
    <row r="486" spans="15:33" ht="14.25" customHeight="1" x14ac:dyDescent="0.3">
      <c r="O486" s="42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</row>
    <row r="487" spans="15:33" ht="14.25" customHeight="1" x14ac:dyDescent="0.3">
      <c r="O487" s="42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</row>
    <row r="488" spans="15:33" ht="14.25" customHeight="1" x14ac:dyDescent="0.3">
      <c r="O488" s="42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</row>
    <row r="489" spans="15:33" ht="14.25" customHeight="1" x14ac:dyDescent="0.3">
      <c r="O489" s="42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</row>
    <row r="490" spans="15:33" ht="14.25" customHeight="1" x14ac:dyDescent="0.3">
      <c r="O490" s="42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</row>
    <row r="491" spans="15:33" ht="14.25" customHeight="1" x14ac:dyDescent="0.3">
      <c r="O491" s="42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</row>
    <row r="492" spans="15:33" ht="14.25" customHeight="1" x14ac:dyDescent="0.3">
      <c r="O492" s="42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</row>
    <row r="493" spans="15:33" ht="14.25" customHeight="1" x14ac:dyDescent="0.3">
      <c r="O493" s="42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</row>
    <row r="494" spans="15:33" ht="14.25" customHeight="1" x14ac:dyDescent="0.3">
      <c r="O494" s="42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</row>
    <row r="495" spans="15:33" ht="14.25" customHeight="1" x14ac:dyDescent="0.3">
      <c r="O495" s="42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</row>
    <row r="496" spans="15:33" ht="14.25" customHeight="1" x14ac:dyDescent="0.3">
      <c r="O496" s="42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</row>
    <row r="497" spans="15:33" ht="14.25" customHeight="1" x14ac:dyDescent="0.3">
      <c r="O497" s="42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</row>
    <row r="498" spans="15:33" ht="14.25" customHeight="1" x14ac:dyDescent="0.3">
      <c r="O498" s="42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</row>
    <row r="499" spans="15:33" ht="14.25" customHeight="1" x14ac:dyDescent="0.3">
      <c r="O499" s="42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</row>
    <row r="500" spans="15:33" ht="14.25" customHeight="1" x14ac:dyDescent="0.3">
      <c r="O500" s="42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</row>
    <row r="501" spans="15:33" ht="14.25" customHeight="1" x14ac:dyDescent="0.3">
      <c r="O501" s="42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</row>
    <row r="502" spans="15:33" ht="14.25" customHeight="1" x14ac:dyDescent="0.3">
      <c r="O502" s="42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</row>
    <row r="503" spans="15:33" ht="14.25" customHeight="1" x14ac:dyDescent="0.3">
      <c r="O503" s="42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</row>
    <row r="504" spans="15:33" ht="14.25" customHeight="1" x14ac:dyDescent="0.3">
      <c r="O504" s="42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</row>
    <row r="505" spans="15:33" ht="14.25" customHeight="1" x14ac:dyDescent="0.3">
      <c r="O505" s="42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</row>
    <row r="506" spans="15:33" ht="14.25" customHeight="1" x14ac:dyDescent="0.3">
      <c r="O506" s="42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</row>
    <row r="507" spans="15:33" ht="14.25" customHeight="1" x14ac:dyDescent="0.3">
      <c r="O507" s="42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</row>
    <row r="508" spans="15:33" ht="14.25" customHeight="1" x14ac:dyDescent="0.3">
      <c r="O508" s="42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</row>
    <row r="509" spans="15:33" ht="14.25" customHeight="1" x14ac:dyDescent="0.3">
      <c r="O509" s="42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</row>
    <row r="510" spans="15:33" ht="14.25" customHeight="1" x14ac:dyDescent="0.3">
      <c r="O510" s="42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</row>
    <row r="511" spans="15:33" ht="14.25" customHeight="1" x14ac:dyDescent="0.3">
      <c r="O511" s="42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</row>
    <row r="512" spans="15:33" ht="14.25" customHeight="1" x14ac:dyDescent="0.3">
      <c r="O512" s="42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</row>
    <row r="513" spans="15:33" ht="14.25" customHeight="1" x14ac:dyDescent="0.3">
      <c r="O513" s="42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</row>
    <row r="514" spans="15:33" ht="14.25" customHeight="1" x14ac:dyDescent="0.3">
      <c r="O514" s="42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</row>
    <row r="515" spans="15:33" ht="14.25" customHeight="1" x14ac:dyDescent="0.3">
      <c r="O515" s="42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</row>
    <row r="516" spans="15:33" ht="14.25" customHeight="1" x14ac:dyDescent="0.3">
      <c r="O516" s="42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</row>
    <row r="517" spans="15:33" ht="14.25" customHeight="1" x14ac:dyDescent="0.3">
      <c r="O517" s="42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</row>
    <row r="518" spans="15:33" ht="14.25" customHeight="1" x14ac:dyDescent="0.3">
      <c r="O518" s="42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</row>
    <row r="519" spans="15:33" ht="14.25" customHeight="1" x14ac:dyDescent="0.3">
      <c r="O519" s="42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</row>
    <row r="520" spans="15:33" ht="14.25" customHeight="1" x14ac:dyDescent="0.3">
      <c r="O520" s="42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</row>
    <row r="521" spans="15:33" ht="14.25" customHeight="1" x14ac:dyDescent="0.3">
      <c r="O521" s="42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</row>
    <row r="522" spans="15:33" ht="14.25" customHeight="1" x14ac:dyDescent="0.3">
      <c r="O522" s="42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</row>
    <row r="523" spans="15:33" ht="14.25" customHeight="1" x14ac:dyDescent="0.3">
      <c r="O523" s="42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</row>
    <row r="524" spans="15:33" ht="14.25" customHeight="1" x14ac:dyDescent="0.3">
      <c r="O524" s="42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</row>
    <row r="525" spans="15:33" ht="14.25" customHeight="1" x14ac:dyDescent="0.3">
      <c r="O525" s="42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</row>
    <row r="526" spans="15:33" ht="14.25" customHeight="1" x14ac:dyDescent="0.3">
      <c r="O526" s="42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</row>
    <row r="527" spans="15:33" ht="14.25" customHeight="1" x14ac:dyDescent="0.3">
      <c r="O527" s="42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</row>
    <row r="528" spans="15:33" ht="14.25" customHeight="1" x14ac:dyDescent="0.3">
      <c r="O528" s="42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</row>
    <row r="529" spans="15:33" ht="14.25" customHeight="1" x14ac:dyDescent="0.3">
      <c r="O529" s="42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</row>
    <row r="530" spans="15:33" ht="14.25" customHeight="1" x14ac:dyDescent="0.3">
      <c r="O530" s="42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</row>
    <row r="531" spans="15:33" ht="14.25" customHeight="1" x14ac:dyDescent="0.3">
      <c r="O531" s="42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</row>
    <row r="532" spans="15:33" ht="14.25" customHeight="1" x14ac:dyDescent="0.3">
      <c r="O532" s="42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</row>
    <row r="533" spans="15:33" ht="14.25" customHeight="1" x14ac:dyDescent="0.3">
      <c r="O533" s="42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</row>
    <row r="534" spans="15:33" ht="14.25" customHeight="1" x14ac:dyDescent="0.3">
      <c r="O534" s="42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</row>
    <row r="535" spans="15:33" ht="14.25" customHeight="1" x14ac:dyDescent="0.3">
      <c r="O535" s="42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</row>
    <row r="536" spans="15:33" ht="14.25" customHeight="1" x14ac:dyDescent="0.3">
      <c r="O536" s="42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</row>
    <row r="537" spans="15:33" ht="14.25" customHeight="1" x14ac:dyDescent="0.3">
      <c r="O537" s="42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</row>
    <row r="538" spans="15:33" ht="14.25" customHeight="1" x14ac:dyDescent="0.3">
      <c r="O538" s="42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</row>
    <row r="539" spans="15:33" ht="14.25" customHeight="1" x14ac:dyDescent="0.3">
      <c r="O539" s="42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</row>
    <row r="540" spans="15:33" ht="14.25" customHeight="1" x14ac:dyDescent="0.3">
      <c r="O540" s="42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</row>
    <row r="541" spans="15:33" ht="14.25" customHeight="1" x14ac:dyDescent="0.3">
      <c r="O541" s="42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</row>
    <row r="542" spans="15:33" ht="14.25" customHeight="1" x14ac:dyDescent="0.3">
      <c r="O542" s="42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</row>
    <row r="543" spans="15:33" ht="14.25" customHeight="1" x14ac:dyDescent="0.3">
      <c r="O543" s="42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</row>
    <row r="544" spans="15:33" ht="14.25" customHeight="1" x14ac:dyDescent="0.3">
      <c r="O544" s="42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</row>
    <row r="545" spans="15:33" ht="14.25" customHeight="1" x14ac:dyDescent="0.3">
      <c r="O545" s="42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</row>
    <row r="546" spans="15:33" ht="14.25" customHeight="1" x14ac:dyDescent="0.3">
      <c r="O546" s="42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</row>
    <row r="547" spans="15:33" ht="14.25" customHeight="1" x14ac:dyDescent="0.3">
      <c r="O547" s="42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</row>
    <row r="548" spans="15:33" ht="14.25" customHeight="1" x14ac:dyDescent="0.3">
      <c r="O548" s="42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</row>
    <row r="549" spans="15:33" ht="14.25" customHeight="1" x14ac:dyDescent="0.3">
      <c r="O549" s="42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</row>
    <row r="550" spans="15:33" ht="14.25" customHeight="1" x14ac:dyDescent="0.3">
      <c r="O550" s="42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</row>
    <row r="551" spans="15:33" ht="14.25" customHeight="1" x14ac:dyDescent="0.3">
      <c r="O551" s="42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</row>
    <row r="552" spans="15:33" ht="14.25" customHeight="1" x14ac:dyDescent="0.3">
      <c r="O552" s="42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</row>
    <row r="553" spans="15:33" ht="14.25" customHeight="1" x14ac:dyDescent="0.3">
      <c r="O553" s="42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</row>
    <row r="554" spans="15:33" ht="14.25" customHeight="1" x14ac:dyDescent="0.3">
      <c r="O554" s="42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</row>
    <row r="555" spans="15:33" ht="14.25" customHeight="1" x14ac:dyDescent="0.3">
      <c r="O555" s="42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</row>
    <row r="556" spans="15:33" ht="14.25" customHeight="1" x14ac:dyDescent="0.3">
      <c r="O556" s="42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</row>
    <row r="557" spans="15:33" ht="14.25" customHeight="1" x14ac:dyDescent="0.3">
      <c r="O557" s="42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</row>
    <row r="558" spans="15:33" ht="14.25" customHeight="1" x14ac:dyDescent="0.3">
      <c r="O558" s="42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</row>
    <row r="559" spans="15:33" ht="14.25" customHeight="1" x14ac:dyDescent="0.3">
      <c r="O559" s="42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</row>
    <row r="560" spans="15:33" ht="14.25" customHeight="1" x14ac:dyDescent="0.3">
      <c r="O560" s="42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</row>
    <row r="561" spans="15:33" ht="14.25" customHeight="1" x14ac:dyDescent="0.3">
      <c r="O561" s="42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</row>
    <row r="562" spans="15:33" ht="14.25" customHeight="1" x14ac:dyDescent="0.3">
      <c r="O562" s="42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</row>
    <row r="563" spans="15:33" ht="14.25" customHeight="1" x14ac:dyDescent="0.3">
      <c r="O563" s="42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</row>
    <row r="564" spans="15:33" ht="14.25" customHeight="1" x14ac:dyDescent="0.3">
      <c r="O564" s="42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</row>
    <row r="565" spans="15:33" ht="14.25" customHeight="1" x14ac:dyDescent="0.3">
      <c r="O565" s="42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</row>
    <row r="566" spans="15:33" ht="14.25" customHeight="1" x14ac:dyDescent="0.3">
      <c r="O566" s="42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</row>
    <row r="567" spans="15:33" ht="14.25" customHeight="1" x14ac:dyDescent="0.3">
      <c r="O567" s="42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</row>
    <row r="568" spans="15:33" ht="14.25" customHeight="1" x14ac:dyDescent="0.3">
      <c r="O568" s="42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</row>
    <row r="569" spans="15:33" ht="14.25" customHeight="1" x14ac:dyDescent="0.3">
      <c r="O569" s="42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</row>
    <row r="570" spans="15:33" ht="14.25" customHeight="1" x14ac:dyDescent="0.3">
      <c r="O570" s="42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</row>
    <row r="571" spans="15:33" ht="14.25" customHeight="1" x14ac:dyDescent="0.3">
      <c r="O571" s="42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</row>
    <row r="572" spans="15:33" ht="14.25" customHeight="1" x14ac:dyDescent="0.3">
      <c r="O572" s="42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</row>
    <row r="573" spans="15:33" ht="14.25" customHeight="1" x14ac:dyDescent="0.3">
      <c r="O573" s="42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</row>
    <row r="574" spans="15:33" ht="14.25" customHeight="1" x14ac:dyDescent="0.3">
      <c r="O574" s="42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</row>
    <row r="575" spans="15:33" ht="14.25" customHeight="1" x14ac:dyDescent="0.3">
      <c r="O575" s="42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</row>
    <row r="576" spans="15:33" ht="14.25" customHeight="1" x14ac:dyDescent="0.3">
      <c r="O576" s="42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</row>
    <row r="577" spans="15:33" ht="14.25" customHeight="1" x14ac:dyDescent="0.3">
      <c r="O577" s="42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</row>
    <row r="578" spans="15:33" ht="14.25" customHeight="1" x14ac:dyDescent="0.3">
      <c r="O578" s="42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</row>
    <row r="579" spans="15:33" ht="14.25" customHeight="1" x14ac:dyDescent="0.3">
      <c r="O579" s="42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</row>
    <row r="580" spans="15:33" ht="14.25" customHeight="1" x14ac:dyDescent="0.3">
      <c r="O580" s="42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</row>
    <row r="581" spans="15:33" ht="14.25" customHeight="1" x14ac:dyDescent="0.3">
      <c r="O581" s="42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</row>
    <row r="582" spans="15:33" ht="14.25" customHeight="1" x14ac:dyDescent="0.3">
      <c r="O582" s="42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</row>
    <row r="583" spans="15:33" ht="14.25" customHeight="1" x14ac:dyDescent="0.3">
      <c r="O583" s="42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</row>
    <row r="584" spans="15:33" ht="14.25" customHeight="1" x14ac:dyDescent="0.3">
      <c r="O584" s="42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</row>
    <row r="585" spans="15:33" ht="14.25" customHeight="1" x14ac:dyDescent="0.3">
      <c r="O585" s="42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</row>
    <row r="586" spans="15:33" ht="14.25" customHeight="1" x14ac:dyDescent="0.3">
      <c r="O586" s="42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</row>
    <row r="587" spans="15:33" ht="14.25" customHeight="1" x14ac:dyDescent="0.3">
      <c r="O587" s="42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</row>
    <row r="588" spans="15:33" ht="14.25" customHeight="1" x14ac:dyDescent="0.3">
      <c r="O588" s="42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</row>
    <row r="589" spans="15:33" ht="14.25" customHeight="1" x14ac:dyDescent="0.3">
      <c r="O589" s="42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</row>
    <row r="590" spans="15:33" ht="14.25" customHeight="1" x14ac:dyDescent="0.3">
      <c r="O590" s="42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</row>
    <row r="591" spans="15:33" ht="14.25" customHeight="1" x14ac:dyDescent="0.3">
      <c r="O591" s="42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</row>
    <row r="592" spans="15:33" ht="14.25" customHeight="1" x14ac:dyDescent="0.3">
      <c r="O592" s="42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</row>
    <row r="593" spans="15:33" ht="14.25" customHeight="1" x14ac:dyDescent="0.3">
      <c r="O593" s="42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</row>
    <row r="594" spans="15:33" ht="14.25" customHeight="1" x14ac:dyDescent="0.3">
      <c r="O594" s="42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</row>
    <row r="595" spans="15:33" ht="14.25" customHeight="1" x14ac:dyDescent="0.3">
      <c r="O595" s="42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</row>
    <row r="596" spans="15:33" ht="14.25" customHeight="1" x14ac:dyDescent="0.3">
      <c r="O596" s="42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</row>
    <row r="597" spans="15:33" ht="14.25" customHeight="1" x14ac:dyDescent="0.3">
      <c r="O597" s="42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</row>
    <row r="598" spans="15:33" ht="14.25" customHeight="1" x14ac:dyDescent="0.3">
      <c r="O598" s="42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</row>
    <row r="599" spans="15:33" ht="14.25" customHeight="1" x14ac:dyDescent="0.3">
      <c r="O599" s="42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</row>
    <row r="600" spans="15:33" ht="14.25" customHeight="1" x14ac:dyDescent="0.3">
      <c r="O600" s="42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</row>
    <row r="601" spans="15:33" ht="14.25" customHeight="1" x14ac:dyDescent="0.3">
      <c r="O601" s="42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</row>
    <row r="602" spans="15:33" ht="14.25" customHeight="1" x14ac:dyDescent="0.3">
      <c r="O602" s="42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</row>
    <row r="603" spans="15:33" ht="14.25" customHeight="1" x14ac:dyDescent="0.3">
      <c r="O603" s="42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</row>
    <row r="604" spans="15:33" ht="14.25" customHeight="1" x14ac:dyDescent="0.3">
      <c r="O604" s="42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</row>
    <row r="605" spans="15:33" ht="14.25" customHeight="1" x14ac:dyDescent="0.3">
      <c r="O605" s="42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</row>
    <row r="606" spans="15:33" ht="14.25" customHeight="1" x14ac:dyDescent="0.3">
      <c r="O606" s="42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</row>
    <row r="607" spans="15:33" ht="14.25" customHeight="1" x14ac:dyDescent="0.3">
      <c r="O607" s="42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</row>
    <row r="608" spans="15:33" ht="14.25" customHeight="1" x14ac:dyDescent="0.3">
      <c r="O608" s="42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</row>
    <row r="609" spans="15:33" ht="14.25" customHeight="1" x14ac:dyDescent="0.3">
      <c r="O609" s="42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</row>
    <row r="610" spans="15:33" ht="14.25" customHeight="1" x14ac:dyDescent="0.3">
      <c r="O610" s="42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</row>
    <row r="611" spans="15:33" ht="14.25" customHeight="1" x14ac:dyDescent="0.3">
      <c r="O611" s="42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</row>
    <row r="612" spans="15:33" ht="14.25" customHeight="1" x14ac:dyDescent="0.3">
      <c r="O612" s="42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</row>
    <row r="613" spans="15:33" ht="14.25" customHeight="1" x14ac:dyDescent="0.3">
      <c r="O613" s="42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</row>
    <row r="614" spans="15:33" ht="14.25" customHeight="1" x14ac:dyDescent="0.3">
      <c r="O614" s="42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</row>
    <row r="615" spans="15:33" ht="14.25" customHeight="1" x14ac:dyDescent="0.3">
      <c r="O615" s="42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</row>
    <row r="616" spans="15:33" ht="14.25" customHeight="1" x14ac:dyDescent="0.3">
      <c r="O616" s="42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</row>
    <row r="617" spans="15:33" ht="14.25" customHeight="1" x14ac:dyDescent="0.3">
      <c r="O617" s="42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</row>
    <row r="618" spans="15:33" ht="14.25" customHeight="1" x14ac:dyDescent="0.3">
      <c r="O618" s="42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</row>
    <row r="619" spans="15:33" ht="14.25" customHeight="1" x14ac:dyDescent="0.3">
      <c r="O619" s="42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</row>
    <row r="620" spans="15:33" ht="14.25" customHeight="1" x14ac:dyDescent="0.3">
      <c r="O620" s="42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</row>
    <row r="621" spans="15:33" ht="14.25" customHeight="1" x14ac:dyDescent="0.3">
      <c r="O621" s="42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</row>
    <row r="622" spans="15:33" ht="14.25" customHeight="1" x14ac:dyDescent="0.3">
      <c r="O622" s="42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</row>
    <row r="623" spans="15:33" ht="14.25" customHeight="1" x14ac:dyDescent="0.3">
      <c r="O623" s="42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</row>
    <row r="624" spans="15:33" ht="14.25" customHeight="1" x14ac:dyDescent="0.3">
      <c r="O624" s="42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</row>
    <row r="625" spans="15:33" ht="14.25" customHeight="1" x14ac:dyDescent="0.3">
      <c r="O625" s="42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</row>
    <row r="626" spans="15:33" ht="14.25" customHeight="1" x14ac:dyDescent="0.3">
      <c r="O626" s="42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</row>
    <row r="627" spans="15:33" ht="14.25" customHeight="1" x14ac:dyDescent="0.3">
      <c r="O627" s="42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</row>
    <row r="628" spans="15:33" ht="14.25" customHeight="1" x14ac:dyDescent="0.3">
      <c r="O628" s="42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</row>
    <row r="629" spans="15:33" ht="14.25" customHeight="1" x14ac:dyDescent="0.3">
      <c r="O629" s="42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</row>
    <row r="630" spans="15:33" ht="14.25" customHeight="1" x14ac:dyDescent="0.3">
      <c r="O630" s="42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</row>
    <row r="631" spans="15:33" ht="14.25" customHeight="1" x14ac:dyDescent="0.3">
      <c r="O631" s="42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</row>
    <row r="632" spans="15:33" ht="14.25" customHeight="1" x14ac:dyDescent="0.3">
      <c r="O632" s="42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</row>
    <row r="633" spans="15:33" ht="14.25" customHeight="1" x14ac:dyDescent="0.3">
      <c r="O633" s="42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</row>
    <row r="634" spans="15:33" ht="14.25" customHeight="1" x14ac:dyDescent="0.3">
      <c r="O634" s="42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</row>
    <row r="635" spans="15:33" ht="14.25" customHeight="1" x14ac:dyDescent="0.3">
      <c r="O635" s="42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</row>
    <row r="636" spans="15:33" ht="14.25" customHeight="1" x14ac:dyDescent="0.3">
      <c r="O636" s="42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</row>
    <row r="637" spans="15:33" ht="14.25" customHeight="1" x14ac:dyDescent="0.3">
      <c r="O637" s="42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</row>
    <row r="638" spans="15:33" ht="14.25" customHeight="1" x14ac:dyDescent="0.3">
      <c r="O638" s="42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</row>
    <row r="639" spans="15:33" ht="14.25" customHeight="1" x14ac:dyDescent="0.3">
      <c r="O639" s="42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</row>
    <row r="640" spans="15:33" ht="14.25" customHeight="1" x14ac:dyDescent="0.3">
      <c r="O640" s="42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</row>
    <row r="641" spans="15:33" ht="14.25" customHeight="1" x14ac:dyDescent="0.3">
      <c r="O641" s="42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</row>
    <row r="642" spans="15:33" ht="14.25" customHeight="1" x14ac:dyDescent="0.3">
      <c r="O642" s="42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</row>
    <row r="643" spans="15:33" ht="14.25" customHeight="1" x14ac:dyDescent="0.3">
      <c r="O643" s="42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</row>
    <row r="644" spans="15:33" ht="14.25" customHeight="1" x14ac:dyDescent="0.3">
      <c r="O644" s="42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</row>
    <row r="645" spans="15:33" ht="14.25" customHeight="1" x14ac:dyDescent="0.3">
      <c r="O645" s="42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</row>
    <row r="646" spans="15:33" ht="14.25" customHeight="1" x14ac:dyDescent="0.3">
      <c r="O646" s="42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</row>
    <row r="647" spans="15:33" ht="14.25" customHeight="1" x14ac:dyDescent="0.3">
      <c r="O647" s="42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</row>
    <row r="648" spans="15:33" ht="14.25" customHeight="1" x14ac:dyDescent="0.3">
      <c r="O648" s="42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</row>
    <row r="649" spans="15:33" ht="14.25" customHeight="1" x14ac:dyDescent="0.3">
      <c r="O649" s="42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</row>
    <row r="650" spans="15:33" ht="14.25" customHeight="1" x14ac:dyDescent="0.3">
      <c r="O650" s="42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</row>
    <row r="651" spans="15:33" ht="14.25" customHeight="1" x14ac:dyDescent="0.3">
      <c r="O651" s="42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</row>
    <row r="652" spans="15:33" ht="14.25" customHeight="1" x14ac:dyDescent="0.3">
      <c r="O652" s="42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</row>
    <row r="653" spans="15:33" ht="14.25" customHeight="1" x14ac:dyDescent="0.3">
      <c r="O653" s="42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</row>
    <row r="654" spans="15:33" ht="14.25" customHeight="1" x14ac:dyDescent="0.3">
      <c r="O654" s="42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</row>
    <row r="655" spans="15:33" ht="14.25" customHeight="1" x14ac:dyDescent="0.3">
      <c r="O655" s="42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</row>
    <row r="656" spans="15:33" ht="14.25" customHeight="1" x14ac:dyDescent="0.3">
      <c r="O656" s="42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</row>
    <row r="657" spans="15:33" ht="14.25" customHeight="1" x14ac:dyDescent="0.3">
      <c r="O657" s="42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</row>
    <row r="658" spans="15:33" ht="14.25" customHeight="1" x14ac:dyDescent="0.3">
      <c r="O658" s="42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</row>
    <row r="659" spans="15:33" ht="14.25" customHeight="1" x14ac:dyDescent="0.3">
      <c r="O659" s="42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</row>
    <row r="660" spans="15:33" ht="14.25" customHeight="1" x14ac:dyDescent="0.3">
      <c r="O660" s="42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</row>
    <row r="661" spans="15:33" ht="14.25" customHeight="1" x14ac:dyDescent="0.3">
      <c r="O661" s="42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</row>
    <row r="662" spans="15:33" ht="14.25" customHeight="1" x14ac:dyDescent="0.3">
      <c r="O662" s="42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</row>
    <row r="663" spans="15:33" ht="14.25" customHeight="1" x14ac:dyDescent="0.3">
      <c r="O663" s="42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</row>
    <row r="664" spans="15:33" ht="14.25" customHeight="1" x14ac:dyDescent="0.3">
      <c r="O664" s="42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</row>
    <row r="665" spans="15:33" ht="14.25" customHeight="1" x14ac:dyDescent="0.3">
      <c r="O665" s="42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</row>
    <row r="666" spans="15:33" ht="14.25" customHeight="1" x14ac:dyDescent="0.3">
      <c r="O666" s="42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</row>
    <row r="667" spans="15:33" ht="14.25" customHeight="1" x14ac:dyDescent="0.3">
      <c r="O667" s="42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</row>
    <row r="668" spans="15:33" ht="14.25" customHeight="1" x14ac:dyDescent="0.3">
      <c r="O668" s="42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</row>
    <row r="669" spans="15:33" ht="14.25" customHeight="1" x14ac:dyDescent="0.3">
      <c r="O669" s="42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</row>
    <row r="670" spans="15:33" ht="14.25" customHeight="1" x14ac:dyDescent="0.3">
      <c r="O670" s="42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</row>
    <row r="671" spans="15:33" ht="14.25" customHeight="1" x14ac:dyDescent="0.3">
      <c r="O671" s="42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</row>
    <row r="672" spans="15:33" ht="14.25" customHeight="1" x14ac:dyDescent="0.3">
      <c r="O672" s="42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</row>
    <row r="673" spans="15:33" ht="14.25" customHeight="1" x14ac:dyDescent="0.3">
      <c r="O673" s="42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</row>
    <row r="674" spans="15:33" ht="14.25" customHeight="1" x14ac:dyDescent="0.3">
      <c r="O674" s="42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</row>
    <row r="675" spans="15:33" ht="14.25" customHeight="1" x14ac:dyDescent="0.3">
      <c r="O675" s="42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</row>
    <row r="676" spans="15:33" ht="14.25" customHeight="1" x14ac:dyDescent="0.3">
      <c r="O676" s="42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</row>
    <row r="677" spans="15:33" ht="14.25" customHeight="1" x14ac:dyDescent="0.3">
      <c r="O677" s="42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</row>
    <row r="678" spans="15:33" ht="14.25" customHeight="1" x14ac:dyDescent="0.3">
      <c r="O678" s="42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</row>
    <row r="679" spans="15:33" ht="14.25" customHeight="1" x14ac:dyDescent="0.3">
      <c r="O679" s="42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</row>
    <row r="680" spans="15:33" ht="14.25" customHeight="1" x14ac:dyDescent="0.3">
      <c r="O680" s="42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</row>
    <row r="681" spans="15:33" ht="14.25" customHeight="1" x14ac:dyDescent="0.3">
      <c r="O681" s="42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</row>
    <row r="682" spans="15:33" ht="14.25" customHeight="1" x14ac:dyDescent="0.3">
      <c r="O682" s="42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</row>
    <row r="683" spans="15:33" ht="14.25" customHeight="1" x14ac:dyDescent="0.3">
      <c r="O683" s="42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</row>
    <row r="684" spans="15:33" ht="14.25" customHeight="1" x14ac:dyDescent="0.3">
      <c r="O684" s="42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</row>
    <row r="685" spans="15:33" ht="14.25" customHeight="1" x14ac:dyDescent="0.3">
      <c r="O685" s="42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</row>
    <row r="686" spans="15:33" ht="14.25" customHeight="1" x14ac:dyDescent="0.3">
      <c r="O686" s="42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</row>
    <row r="687" spans="15:33" ht="14.25" customHeight="1" x14ac:dyDescent="0.3">
      <c r="O687" s="42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</row>
    <row r="688" spans="15:33" ht="14.25" customHeight="1" x14ac:dyDescent="0.3">
      <c r="O688" s="42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</row>
    <row r="689" spans="15:33" ht="14.25" customHeight="1" x14ac:dyDescent="0.3">
      <c r="O689" s="42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</row>
    <row r="690" spans="15:33" ht="14.25" customHeight="1" x14ac:dyDescent="0.3">
      <c r="O690" s="42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</row>
    <row r="691" spans="15:33" ht="14.25" customHeight="1" x14ac:dyDescent="0.3">
      <c r="O691" s="42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</row>
    <row r="692" spans="15:33" ht="14.25" customHeight="1" x14ac:dyDescent="0.3">
      <c r="O692" s="42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</row>
    <row r="693" spans="15:33" ht="14.25" customHeight="1" x14ac:dyDescent="0.3">
      <c r="O693" s="42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</row>
    <row r="694" spans="15:33" ht="14.25" customHeight="1" x14ac:dyDescent="0.3">
      <c r="O694" s="42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</row>
    <row r="695" spans="15:33" ht="14.25" customHeight="1" x14ac:dyDescent="0.3">
      <c r="O695" s="42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</row>
    <row r="696" spans="15:33" ht="14.25" customHeight="1" x14ac:dyDescent="0.3">
      <c r="O696" s="42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</row>
    <row r="697" spans="15:33" ht="14.25" customHeight="1" x14ac:dyDescent="0.3">
      <c r="O697" s="42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</row>
    <row r="698" spans="15:33" ht="14.25" customHeight="1" x14ac:dyDescent="0.3">
      <c r="O698" s="42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</row>
    <row r="699" spans="15:33" ht="14.25" customHeight="1" x14ac:dyDescent="0.3">
      <c r="O699" s="42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</row>
    <row r="700" spans="15:33" ht="14.25" customHeight="1" x14ac:dyDescent="0.3">
      <c r="O700" s="42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</row>
    <row r="701" spans="15:33" ht="14.25" customHeight="1" x14ac:dyDescent="0.3">
      <c r="O701" s="42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</row>
    <row r="702" spans="15:33" ht="14.25" customHeight="1" x14ac:dyDescent="0.3">
      <c r="O702" s="42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</row>
    <row r="703" spans="15:33" ht="14.25" customHeight="1" x14ac:dyDescent="0.3">
      <c r="O703" s="42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</row>
    <row r="704" spans="15:33" ht="14.25" customHeight="1" x14ac:dyDescent="0.3">
      <c r="O704" s="42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</row>
    <row r="705" spans="15:33" ht="14.25" customHeight="1" x14ac:dyDescent="0.3">
      <c r="O705" s="42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</row>
    <row r="706" spans="15:33" ht="14.25" customHeight="1" x14ac:dyDescent="0.3">
      <c r="O706" s="42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</row>
    <row r="707" spans="15:33" ht="14.25" customHeight="1" x14ac:dyDescent="0.3">
      <c r="O707" s="42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</row>
    <row r="708" spans="15:33" ht="14.25" customHeight="1" x14ac:dyDescent="0.3">
      <c r="O708" s="42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</row>
    <row r="709" spans="15:33" ht="14.25" customHeight="1" x14ac:dyDescent="0.3">
      <c r="O709" s="42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</row>
    <row r="710" spans="15:33" ht="14.25" customHeight="1" x14ac:dyDescent="0.3">
      <c r="O710" s="42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</row>
    <row r="711" spans="15:33" ht="14.25" customHeight="1" x14ac:dyDescent="0.3">
      <c r="O711" s="42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</row>
    <row r="712" spans="15:33" ht="14.25" customHeight="1" x14ac:dyDescent="0.3">
      <c r="O712" s="42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</row>
    <row r="713" spans="15:33" ht="14.25" customHeight="1" x14ac:dyDescent="0.3">
      <c r="O713" s="42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</row>
    <row r="714" spans="15:33" ht="14.25" customHeight="1" x14ac:dyDescent="0.3">
      <c r="O714" s="42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</row>
    <row r="715" spans="15:33" ht="14.25" customHeight="1" x14ac:dyDescent="0.3">
      <c r="O715" s="42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</row>
    <row r="716" spans="15:33" ht="14.25" customHeight="1" x14ac:dyDescent="0.3">
      <c r="O716" s="42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</row>
    <row r="717" spans="15:33" ht="14.25" customHeight="1" x14ac:dyDescent="0.3">
      <c r="O717" s="42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</row>
    <row r="718" spans="15:33" ht="14.25" customHeight="1" x14ac:dyDescent="0.3">
      <c r="O718" s="42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</row>
    <row r="719" spans="15:33" ht="14.25" customHeight="1" x14ac:dyDescent="0.3">
      <c r="O719" s="42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</row>
    <row r="720" spans="15:33" ht="14.25" customHeight="1" x14ac:dyDescent="0.3">
      <c r="O720" s="42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</row>
    <row r="721" spans="15:33" ht="14.25" customHeight="1" x14ac:dyDescent="0.3">
      <c r="O721" s="42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</row>
    <row r="722" spans="15:33" ht="14.25" customHeight="1" x14ac:dyDescent="0.3">
      <c r="O722" s="42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</row>
    <row r="723" spans="15:33" ht="14.25" customHeight="1" x14ac:dyDescent="0.3">
      <c r="O723" s="42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</row>
    <row r="724" spans="15:33" ht="14.25" customHeight="1" x14ac:dyDescent="0.3">
      <c r="O724" s="42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</row>
    <row r="725" spans="15:33" ht="14.25" customHeight="1" x14ac:dyDescent="0.3">
      <c r="O725" s="42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</row>
    <row r="726" spans="15:33" ht="14.25" customHeight="1" x14ac:dyDescent="0.3">
      <c r="O726" s="42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</row>
    <row r="727" spans="15:33" ht="14.25" customHeight="1" x14ac:dyDescent="0.3">
      <c r="O727" s="42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</row>
    <row r="728" spans="15:33" ht="14.25" customHeight="1" x14ac:dyDescent="0.3">
      <c r="O728" s="42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</row>
    <row r="729" spans="15:33" ht="14.25" customHeight="1" x14ac:dyDescent="0.3">
      <c r="O729" s="42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</row>
    <row r="730" spans="15:33" ht="14.25" customHeight="1" x14ac:dyDescent="0.3">
      <c r="O730" s="42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</row>
    <row r="731" spans="15:33" ht="14.25" customHeight="1" x14ac:dyDescent="0.3">
      <c r="O731" s="42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</row>
    <row r="732" spans="15:33" ht="14.25" customHeight="1" x14ac:dyDescent="0.3">
      <c r="O732" s="42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</row>
    <row r="733" spans="15:33" ht="14.25" customHeight="1" x14ac:dyDescent="0.3">
      <c r="O733" s="42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</row>
    <row r="734" spans="15:33" ht="14.25" customHeight="1" x14ac:dyDescent="0.3">
      <c r="O734" s="42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</row>
    <row r="735" spans="15:33" ht="14.25" customHeight="1" x14ac:dyDescent="0.3">
      <c r="O735" s="42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</row>
    <row r="736" spans="15:33" ht="14.25" customHeight="1" x14ac:dyDescent="0.3">
      <c r="O736" s="42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</row>
    <row r="737" spans="15:33" ht="14.25" customHeight="1" x14ac:dyDescent="0.3">
      <c r="O737" s="42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</row>
    <row r="738" spans="15:33" ht="14.25" customHeight="1" x14ac:dyDescent="0.3">
      <c r="O738" s="42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</row>
    <row r="739" spans="15:33" ht="14.25" customHeight="1" x14ac:dyDescent="0.3">
      <c r="O739" s="42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</row>
    <row r="740" spans="15:33" ht="14.25" customHeight="1" x14ac:dyDescent="0.3">
      <c r="O740" s="42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</row>
    <row r="741" spans="15:33" ht="14.25" customHeight="1" x14ac:dyDescent="0.3">
      <c r="O741" s="42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</row>
    <row r="742" spans="15:33" ht="14.25" customHeight="1" x14ac:dyDescent="0.3">
      <c r="O742" s="42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</row>
    <row r="743" spans="15:33" ht="14.25" customHeight="1" x14ac:dyDescent="0.3">
      <c r="O743" s="42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</row>
    <row r="744" spans="15:33" ht="14.25" customHeight="1" x14ac:dyDescent="0.3">
      <c r="O744" s="42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</row>
    <row r="745" spans="15:33" ht="14.25" customHeight="1" x14ac:dyDescent="0.3">
      <c r="O745" s="42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</row>
    <row r="746" spans="15:33" ht="14.25" customHeight="1" x14ac:dyDescent="0.3">
      <c r="O746" s="42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</row>
    <row r="747" spans="15:33" ht="14.25" customHeight="1" x14ac:dyDescent="0.3">
      <c r="O747" s="42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</row>
    <row r="748" spans="15:33" ht="14.25" customHeight="1" x14ac:dyDescent="0.3">
      <c r="O748" s="42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</row>
    <row r="749" spans="15:33" ht="14.25" customHeight="1" x14ac:dyDescent="0.3">
      <c r="O749" s="42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</row>
    <row r="750" spans="15:33" ht="14.25" customHeight="1" x14ac:dyDescent="0.3">
      <c r="O750" s="42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</row>
    <row r="751" spans="15:33" ht="14.25" customHeight="1" x14ac:dyDescent="0.3">
      <c r="O751" s="42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</row>
    <row r="752" spans="15:33" ht="14.25" customHeight="1" x14ac:dyDescent="0.3">
      <c r="O752" s="42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</row>
    <row r="753" spans="15:33" ht="14.25" customHeight="1" x14ac:dyDescent="0.3">
      <c r="O753" s="42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</row>
    <row r="754" spans="15:33" ht="14.25" customHeight="1" x14ac:dyDescent="0.3">
      <c r="O754" s="42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</row>
    <row r="755" spans="15:33" ht="14.25" customHeight="1" x14ac:dyDescent="0.3">
      <c r="O755" s="42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</row>
    <row r="756" spans="15:33" ht="14.25" customHeight="1" x14ac:dyDescent="0.3">
      <c r="O756" s="42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</row>
    <row r="757" spans="15:33" ht="14.25" customHeight="1" x14ac:dyDescent="0.3">
      <c r="O757" s="42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</row>
    <row r="758" spans="15:33" ht="14.25" customHeight="1" x14ac:dyDescent="0.3">
      <c r="O758" s="42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</row>
    <row r="759" spans="15:33" ht="14.25" customHeight="1" x14ac:dyDescent="0.3">
      <c r="O759" s="42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</row>
    <row r="760" spans="15:33" ht="14.25" customHeight="1" x14ac:dyDescent="0.3">
      <c r="O760" s="42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</row>
    <row r="761" spans="15:33" ht="14.25" customHeight="1" x14ac:dyDescent="0.3">
      <c r="O761" s="42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</row>
    <row r="762" spans="15:33" ht="14.25" customHeight="1" x14ac:dyDescent="0.3">
      <c r="O762" s="42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</row>
    <row r="763" spans="15:33" ht="14.25" customHeight="1" x14ac:dyDescent="0.3">
      <c r="O763" s="42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</row>
    <row r="764" spans="15:33" ht="14.25" customHeight="1" x14ac:dyDescent="0.3">
      <c r="O764" s="42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</row>
    <row r="765" spans="15:33" ht="14.25" customHeight="1" x14ac:dyDescent="0.3">
      <c r="O765" s="42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</row>
    <row r="766" spans="15:33" ht="14.25" customHeight="1" x14ac:dyDescent="0.3">
      <c r="O766" s="42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</row>
    <row r="767" spans="15:33" ht="14.25" customHeight="1" x14ac:dyDescent="0.3">
      <c r="O767" s="42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</row>
    <row r="768" spans="15:33" ht="14.25" customHeight="1" x14ac:dyDescent="0.3">
      <c r="O768" s="42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</row>
    <row r="769" spans="15:33" ht="14.25" customHeight="1" x14ac:dyDescent="0.3">
      <c r="O769" s="42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</row>
    <row r="770" spans="15:33" ht="14.25" customHeight="1" x14ac:dyDescent="0.3">
      <c r="O770" s="42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</row>
    <row r="771" spans="15:33" ht="14.25" customHeight="1" x14ac:dyDescent="0.3">
      <c r="O771" s="42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</row>
    <row r="772" spans="15:33" ht="14.25" customHeight="1" x14ac:dyDescent="0.3">
      <c r="O772" s="42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</row>
    <row r="773" spans="15:33" ht="14.25" customHeight="1" x14ac:dyDescent="0.3">
      <c r="O773" s="42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</row>
    <row r="774" spans="15:33" ht="14.25" customHeight="1" x14ac:dyDescent="0.3">
      <c r="O774" s="42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</row>
    <row r="775" spans="15:33" ht="14.25" customHeight="1" x14ac:dyDescent="0.3">
      <c r="O775" s="42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</row>
    <row r="776" spans="15:33" ht="14.25" customHeight="1" x14ac:dyDescent="0.3">
      <c r="O776" s="42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</row>
    <row r="777" spans="15:33" ht="14.25" customHeight="1" x14ac:dyDescent="0.3">
      <c r="O777" s="42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</row>
    <row r="778" spans="15:33" ht="14.25" customHeight="1" x14ac:dyDescent="0.3">
      <c r="O778" s="42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</row>
    <row r="779" spans="15:33" ht="14.25" customHeight="1" x14ac:dyDescent="0.3">
      <c r="O779" s="42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</row>
    <row r="780" spans="15:33" ht="14.25" customHeight="1" x14ac:dyDescent="0.3">
      <c r="O780" s="42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</row>
    <row r="781" spans="15:33" ht="14.25" customHeight="1" x14ac:dyDescent="0.3">
      <c r="O781" s="42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</row>
    <row r="782" spans="15:33" ht="14.25" customHeight="1" x14ac:dyDescent="0.3">
      <c r="O782" s="42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</row>
    <row r="783" spans="15:33" ht="14.25" customHeight="1" x14ac:dyDescent="0.3">
      <c r="O783" s="42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</row>
    <row r="784" spans="15:33" ht="14.25" customHeight="1" x14ac:dyDescent="0.3">
      <c r="O784" s="42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</row>
    <row r="785" spans="15:33" ht="14.25" customHeight="1" x14ac:dyDescent="0.3">
      <c r="O785" s="42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</row>
    <row r="786" spans="15:33" ht="14.25" customHeight="1" x14ac:dyDescent="0.3">
      <c r="O786" s="42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</row>
    <row r="787" spans="15:33" ht="14.25" customHeight="1" x14ac:dyDescent="0.3">
      <c r="O787" s="42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</row>
    <row r="788" spans="15:33" ht="14.25" customHeight="1" x14ac:dyDescent="0.3">
      <c r="O788" s="42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</row>
    <row r="789" spans="15:33" ht="14.25" customHeight="1" x14ac:dyDescent="0.3">
      <c r="O789" s="42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</row>
    <row r="790" spans="15:33" ht="14.25" customHeight="1" x14ac:dyDescent="0.3">
      <c r="O790" s="42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</row>
    <row r="791" spans="15:33" ht="14.25" customHeight="1" x14ac:dyDescent="0.3">
      <c r="O791" s="42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</row>
    <row r="792" spans="15:33" ht="14.25" customHeight="1" x14ac:dyDescent="0.3">
      <c r="O792" s="42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</row>
    <row r="793" spans="15:33" ht="14.25" customHeight="1" x14ac:dyDescent="0.3">
      <c r="O793" s="42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</row>
    <row r="794" spans="15:33" ht="14.25" customHeight="1" x14ac:dyDescent="0.3">
      <c r="O794" s="42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</row>
    <row r="795" spans="15:33" ht="14.25" customHeight="1" x14ac:dyDescent="0.3">
      <c r="O795" s="42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</row>
    <row r="796" spans="15:33" ht="14.25" customHeight="1" x14ac:dyDescent="0.3">
      <c r="O796" s="42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</row>
    <row r="797" spans="15:33" ht="14.25" customHeight="1" x14ac:dyDescent="0.3">
      <c r="O797" s="42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</row>
    <row r="798" spans="15:33" ht="14.25" customHeight="1" x14ac:dyDescent="0.3">
      <c r="O798" s="42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</row>
    <row r="799" spans="15:33" ht="14.25" customHeight="1" x14ac:dyDescent="0.3">
      <c r="O799" s="42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</row>
    <row r="800" spans="15:33" ht="14.25" customHeight="1" x14ac:dyDescent="0.3">
      <c r="O800" s="42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</row>
    <row r="801" spans="15:33" ht="14.25" customHeight="1" x14ac:dyDescent="0.3">
      <c r="O801" s="42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</row>
    <row r="802" spans="15:33" ht="14.25" customHeight="1" x14ac:dyDescent="0.3">
      <c r="O802" s="42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</row>
    <row r="803" spans="15:33" ht="14.25" customHeight="1" x14ac:dyDescent="0.3">
      <c r="O803" s="42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</row>
    <row r="804" spans="15:33" ht="14.25" customHeight="1" x14ac:dyDescent="0.3">
      <c r="O804" s="42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</row>
    <row r="805" spans="15:33" ht="14.25" customHeight="1" x14ac:dyDescent="0.3">
      <c r="O805" s="42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</row>
    <row r="806" spans="15:33" ht="14.25" customHeight="1" x14ac:dyDescent="0.3">
      <c r="O806" s="42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</row>
    <row r="807" spans="15:33" ht="14.25" customHeight="1" x14ac:dyDescent="0.3">
      <c r="O807" s="42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</row>
    <row r="808" spans="15:33" ht="14.25" customHeight="1" x14ac:dyDescent="0.3">
      <c r="O808" s="42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</row>
    <row r="809" spans="15:33" ht="14.25" customHeight="1" x14ac:dyDescent="0.3">
      <c r="O809" s="42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</row>
    <row r="810" spans="15:33" ht="14.25" customHeight="1" x14ac:dyDescent="0.3">
      <c r="O810" s="42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</row>
    <row r="811" spans="15:33" ht="14.25" customHeight="1" x14ac:dyDescent="0.3">
      <c r="O811" s="42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</row>
    <row r="812" spans="15:33" ht="14.25" customHeight="1" x14ac:dyDescent="0.3">
      <c r="O812" s="42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</row>
    <row r="813" spans="15:33" ht="14.25" customHeight="1" x14ac:dyDescent="0.3">
      <c r="O813" s="42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</row>
    <row r="814" spans="15:33" ht="14.25" customHeight="1" x14ac:dyDescent="0.3">
      <c r="O814" s="42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</row>
    <row r="815" spans="15:33" ht="14.25" customHeight="1" x14ac:dyDescent="0.3">
      <c r="O815" s="42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</row>
    <row r="816" spans="15:33" ht="14.25" customHeight="1" x14ac:dyDescent="0.3">
      <c r="O816" s="42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</row>
    <row r="817" spans="15:33" ht="14.25" customHeight="1" x14ac:dyDescent="0.3">
      <c r="O817" s="42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</row>
    <row r="818" spans="15:33" ht="14.25" customHeight="1" x14ac:dyDescent="0.3">
      <c r="O818" s="42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</row>
    <row r="819" spans="15:33" ht="14.25" customHeight="1" x14ac:dyDescent="0.3">
      <c r="O819" s="42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</row>
    <row r="820" spans="15:33" ht="14.25" customHeight="1" x14ac:dyDescent="0.3">
      <c r="O820" s="42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</row>
    <row r="821" spans="15:33" ht="14.25" customHeight="1" x14ac:dyDescent="0.3">
      <c r="O821" s="42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</row>
    <row r="822" spans="15:33" ht="14.25" customHeight="1" x14ac:dyDescent="0.3">
      <c r="O822" s="42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</row>
    <row r="823" spans="15:33" ht="14.25" customHeight="1" x14ac:dyDescent="0.3">
      <c r="O823" s="42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</row>
    <row r="824" spans="15:33" ht="14.25" customHeight="1" x14ac:dyDescent="0.3">
      <c r="O824" s="42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</row>
    <row r="825" spans="15:33" ht="14.25" customHeight="1" x14ac:dyDescent="0.3">
      <c r="O825" s="42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</row>
    <row r="826" spans="15:33" ht="14.25" customHeight="1" x14ac:dyDescent="0.3">
      <c r="O826" s="42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</row>
    <row r="827" spans="15:33" ht="14.25" customHeight="1" x14ac:dyDescent="0.3">
      <c r="O827" s="42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</row>
    <row r="828" spans="15:33" ht="14.25" customHeight="1" x14ac:dyDescent="0.3">
      <c r="O828" s="42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</row>
    <row r="829" spans="15:33" ht="14.25" customHeight="1" x14ac:dyDescent="0.3">
      <c r="O829" s="42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</row>
    <row r="830" spans="15:33" ht="14.25" customHeight="1" x14ac:dyDescent="0.3">
      <c r="O830" s="42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</row>
    <row r="831" spans="15:33" ht="14.25" customHeight="1" x14ac:dyDescent="0.3">
      <c r="O831" s="42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</row>
    <row r="832" spans="15:33" ht="14.25" customHeight="1" x14ac:dyDescent="0.3">
      <c r="O832" s="42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</row>
    <row r="833" spans="15:33" ht="14.25" customHeight="1" x14ac:dyDescent="0.3">
      <c r="O833" s="42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</row>
    <row r="834" spans="15:33" ht="14.25" customHeight="1" x14ac:dyDescent="0.3">
      <c r="O834" s="42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</row>
    <row r="835" spans="15:33" ht="14.25" customHeight="1" x14ac:dyDescent="0.3">
      <c r="O835" s="42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</row>
    <row r="836" spans="15:33" ht="14.25" customHeight="1" x14ac:dyDescent="0.3">
      <c r="O836" s="42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</row>
    <row r="837" spans="15:33" ht="14.25" customHeight="1" x14ac:dyDescent="0.3">
      <c r="O837" s="42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</row>
    <row r="838" spans="15:33" ht="14.25" customHeight="1" x14ac:dyDescent="0.3">
      <c r="O838" s="42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</row>
    <row r="839" spans="15:33" ht="14.25" customHeight="1" x14ac:dyDescent="0.3">
      <c r="O839" s="42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</row>
    <row r="840" spans="15:33" ht="14.25" customHeight="1" x14ac:dyDescent="0.3">
      <c r="O840" s="42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</row>
    <row r="841" spans="15:33" ht="14.25" customHeight="1" x14ac:dyDescent="0.3">
      <c r="O841" s="42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</row>
    <row r="842" spans="15:33" ht="14.25" customHeight="1" x14ac:dyDescent="0.3">
      <c r="O842" s="42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</row>
    <row r="843" spans="15:33" ht="14.25" customHeight="1" x14ac:dyDescent="0.3">
      <c r="O843" s="42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</row>
    <row r="844" spans="15:33" ht="14.25" customHeight="1" x14ac:dyDescent="0.3">
      <c r="O844" s="42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</row>
    <row r="845" spans="15:33" ht="14.25" customHeight="1" x14ac:dyDescent="0.3">
      <c r="O845" s="42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</row>
    <row r="846" spans="15:33" ht="14.25" customHeight="1" x14ac:dyDescent="0.3">
      <c r="O846" s="42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</row>
    <row r="847" spans="15:33" ht="14.25" customHeight="1" x14ac:dyDescent="0.3">
      <c r="O847" s="42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</row>
    <row r="848" spans="15:33" ht="14.25" customHeight="1" x14ac:dyDescent="0.3">
      <c r="O848" s="42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</row>
    <row r="849" spans="15:33" ht="14.25" customHeight="1" x14ac:dyDescent="0.3">
      <c r="O849" s="42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</row>
    <row r="850" spans="15:33" ht="14.25" customHeight="1" x14ac:dyDescent="0.3">
      <c r="O850" s="42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</row>
    <row r="851" spans="15:33" ht="14.25" customHeight="1" x14ac:dyDescent="0.3">
      <c r="O851" s="42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</row>
    <row r="852" spans="15:33" ht="14.25" customHeight="1" x14ac:dyDescent="0.3">
      <c r="O852" s="42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</row>
    <row r="853" spans="15:33" ht="14.25" customHeight="1" x14ac:dyDescent="0.3">
      <c r="O853" s="42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</row>
    <row r="854" spans="15:33" ht="14.25" customHeight="1" x14ac:dyDescent="0.3">
      <c r="O854" s="42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</row>
    <row r="855" spans="15:33" ht="14.25" customHeight="1" x14ac:dyDescent="0.3">
      <c r="O855" s="42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</row>
    <row r="856" spans="15:33" ht="14.25" customHeight="1" x14ac:dyDescent="0.3">
      <c r="O856" s="42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</row>
    <row r="857" spans="15:33" ht="14.25" customHeight="1" x14ac:dyDescent="0.3">
      <c r="O857" s="42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</row>
    <row r="858" spans="15:33" ht="14.25" customHeight="1" x14ac:dyDescent="0.3">
      <c r="O858" s="42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</row>
    <row r="859" spans="15:33" ht="14.25" customHeight="1" x14ac:dyDescent="0.3">
      <c r="O859" s="42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</row>
    <row r="860" spans="15:33" ht="14.25" customHeight="1" x14ac:dyDescent="0.3">
      <c r="O860" s="42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</row>
    <row r="861" spans="15:33" ht="14.25" customHeight="1" x14ac:dyDescent="0.3">
      <c r="O861" s="42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</row>
    <row r="862" spans="15:33" ht="14.25" customHeight="1" x14ac:dyDescent="0.3">
      <c r="O862" s="42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</row>
    <row r="863" spans="15:33" ht="14.25" customHeight="1" x14ac:dyDescent="0.3">
      <c r="O863" s="42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</row>
    <row r="864" spans="15:33" ht="14.25" customHeight="1" x14ac:dyDescent="0.3">
      <c r="O864" s="42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</row>
    <row r="865" spans="15:33" ht="14.25" customHeight="1" x14ac:dyDescent="0.3">
      <c r="O865" s="42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</row>
    <row r="866" spans="15:33" ht="14.25" customHeight="1" x14ac:dyDescent="0.3">
      <c r="O866" s="42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</row>
    <row r="867" spans="15:33" ht="14.25" customHeight="1" x14ac:dyDescent="0.3">
      <c r="O867" s="42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</row>
    <row r="868" spans="15:33" ht="14.25" customHeight="1" x14ac:dyDescent="0.3">
      <c r="O868" s="42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</row>
    <row r="869" spans="15:33" ht="14.25" customHeight="1" x14ac:dyDescent="0.3">
      <c r="O869" s="42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</row>
    <row r="870" spans="15:33" ht="14.25" customHeight="1" x14ac:dyDescent="0.3">
      <c r="O870" s="42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</row>
    <row r="871" spans="15:33" ht="14.25" customHeight="1" x14ac:dyDescent="0.3">
      <c r="O871" s="42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</row>
    <row r="872" spans="15:33" ht="14.25" customHeight="1" x14ac:dyDescent="0.3">
      <c r="O872" s="42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</row>
    <row r="873" spans="15:33" ht="14.25" customHeight="1" x14ac:dyDescent="0.3">
      <c r="O873" s="42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</row>
    <row r="874" spans="15:33" ht="14.25" customHeight="1" x14ac:dyDescent="0.3">
      <c r="O874" s="42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</row>
    <row r="875" spans="15:33" ht="14.25" customHeight="1" x14ac:dyDescent="0.3">
      <c r="O875" s="42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</row>
    <row r="876" spans="15:33" ht="14.25" customHeight="1" x14ac:dyDescent="0.3">
      <c r="O876" s="42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</row>
    <row r="877" spans="15:33" ht="14.25" customHeight="1" x14ac:dyDescent="0.3">
      <c r="O877" s="42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</row>
    <row r="878" spans="15:33" ht="14.25" customHeight="1" x14ac:dyDescent="0.3">
      <c r="O878" s="42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</row>
    <row r="879" spans="15:33" ht="14.25" customHeight="1" x14ac:dyDescent="0.3">
      <c r="O879" s="42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</row>
    <row r="880" spans="15:33" ht="14.25" customHeight="1" x14ac:dyDescent="0.3">
      <c r="O880" s="42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</row>
    <row r="881" spans="15:33" ht="14.25" customHeight="1" x14ac:dyDescent="0.3">
      <c r="O881" s="42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</row>
    <row r="882" spans="15:33" ht="14.25" customHeight="1" x14ac:dyDescent="0.3">
      <c r="O882" s="42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</row>
    <row r="883" spans="15:33" ht="14.25" customHeight="1" x14ac:dyDescent="0.3">
      <c r="O883" s="42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</row>
    <row r="884" spans="15:33" ht="14.25" customHeight="1" x14ac:dyDescent="0.3">
      <c r="O884" s="42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</row>
    <row r="885" spans="15:33" ht="14.25" customHeight="1" x14ac:dyDescent="0.3">
      <c r="O885" s="42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</row>
    <row r="886" spans="15:33" ht="14.25" customHeight="1" x14ac:dyDescent="0.3">
      <c r="O886" s="42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</row>
    <row r="887" spans="15:33" ht="14.25" customHeight="1" x14ac:dyDescent="0.3">
      <c r="O887" s="42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</row>
    <row r="888" spans="15:33" ht="14.25" customHeight="1" x14ac:dyDescent="0.3">
      <c r="O888" s="42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</row>
    <row r="889" spans="15:33" ht="14.25" customHeight="1" x14ac:dyDescent="0.3">
      <c r="O889" s="42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</row>
    <row r="890" spans="15:33" ht="14.25" customHeight="1" x14ac:dyDescent="0.3">
      <c r="O890" s="42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</row>
    <row r="891" spans="15:33" ht="14.25" customHeight="1" x14ac:dyDescent="0.3">
      <c r="O891" s="42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</row>
    <row r="892" spans="15:33" ht="14.25" customHeight="1" x14ac:dyDescent="0.3">
      <c r="O892" s="42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</row>
    <row r="893" spans="15:33" ht="14.25" customHeight="1" x14ac:dyDescent="0.3">
      <c r="O893" s="42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</row>
    <row r="894" spans="15:33" ht="14.25" customHeight="1" x14ac:dyDescent="0.3">
      <c r="O894" s="42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</row>
    <row r="895" spans="15:33" ht="14.25" customHeight="1" x14ac:dyDescent="0.3">
      <c r="O895" s="42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</row>
    <row r="896" spans="15:33" ht="14.25" customHeight="1" x14ac:dyDescent="0.3">
      <c r="O896" s="42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</row>
    <row r="897" spans="15:33" ht="14.25" customHeight="1" x14ac:dyDescent="0.3">
      <c r="O897" s="42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</row>
    <row r="898" spans="15:33" ht="14.25" customHeight="1" x14ac:dyDescent="0.3">
      <c r="O898" s="42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</row>
    <row r="899" spans="15:33" ht="14.25" customHeight="1" x14ac:dyDescent="0.3">
      <c r="O899" s="42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</row>
    <row r="900" spans="15:33" ht="14.25" customHeight="1" x14ac:dyDescent="0.3">
      <c r="O900" s="42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</row>
    <row r="901" spans="15:33" ht="14.25" customHeight="1" x14ac:dyDescent="0.3">
      <c r="O901" s="42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</row>
    <row r="902" spans="15:33" ht="14.25" customHeight="1" x14ac:dyDescent="0.3">
      <c r="O902" s="42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</row>
    <row r="903" spans="15:33" ht="14.25" customHeight="1" x14ac:dyDescent="0.3">
      <c r="O903" s="42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</row>
    <row r="904" spans="15:33" ht="14.25" customHeight="1" x14ac:dyDescent="0.3">
      <c r="O904" s="42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</row>
    <row r="905" spans="15:33" ht="14.25" customHeight="1" x14ac:dyDescent="0.3">
      <c r="O905" s="42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</row>
    <row r="906" spans="15:33" ht="14.25" customHeight="1" x14ac:dyDescent="0.3">
      <c r="O906" s="42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</row>
    <row r="907" spans="15:33" ht="14.25" customHeight="1" x14ac:dyDescent="0.3">
      <c r="O907" s="42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</row>
    <row r="908" spans="15:33" ht="14.25" customHeight="1" x14ac:dyDescent="0.3">
      <c r="O908" s="42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</row>
    <row r="909" spans="15:33" ht="14.25" customHeight="1" x14ac:dyDescent="0.3">
      <c r="O909" s="42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</row>
    <row r="910" spans="15:33" ht="14.25" customHeight="1" x14ac:dyDescent="0.3">
      <c r="O910" s="42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</row>
    <row r="911" spans="15:33" ht="14.25" customHeight="1" x14ac:dyDescent="0.3">
      <c r="O911" s="42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</row>
    <row r="912" spans="15:33" ht="14.25" customHeight="1" x14ac:dyDescent="0.3">
      <c r="O912" s="42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</row>
    <row r="913" spans="15:33" ht="14.25" customHeight="1" x14ac:dyDescent="0.3">
      <c r="O913" s="42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</row>
    <row r="914" spans="15:33" ht="14.25" customHeight="1" x14ac:dyDescent="0.3">
      <c r="O914" s="42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</row>
    <row r="915" spans="15:33" ht="14.25" customHeight="1" x14ac:dyDescent="0.3">
      <c r="O915" s="42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</row>
    <row r="916" spans="15:33" ht="14.25" customHeight="1" x14ac:dyDescent="0.3">
      <c r="O916" s="42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</row>
    <row r="917" spans="15:33" ht="14.25" customHeight="1" x14ac:dyDescent="0.3">
      <c r="O917" s="42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</row>
    <row r="918" spans="15:33" ht="14.25" customHeight="1" x14ac:dyDescent="0.3">
      <c r="O918" s="42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</row>
    <row r="919" spans="15:33" ht="14.25" customHeight="1" x14ac:dyDescent="0.3">
      <c r="O919" s="42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</row>
    <row r="920" spans="15:33" ht="14.25" customHeight="1" x14ac:dyDescent="0.3">
      <c r="O920" s="42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</row>
    <row r="921" spans="15:33" ht="14.25" customHeight="1" x14ac:dyDescent="0.3">
      <c r="O921" s="42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</row>
    <row r="922" spans="15:33" ht="14.25" customHeight="1" x14ac:dyDescent="0.3">
      <c r="O922" s="42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</row>
    <row r="923" spans="15:33" ht="14.25" customHeight="1" x14ac:dyDescent="0.3">
      <c r="O923" s="42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</row>
    <row r="924" spans="15:33" ht="14.25" customHeight="1" x14ac:dyDescent="0.3">
      <c r="O924" s="42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</row>
    <row r="925" spans="15:33" ht="14.25" customHeight="1" x14ac:dyDescent="0.3">
      <c r="O925" s="42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</row>
    <row r="926" spans="15:33" ht="14.25" customHeight="1" x14ac:dyDescent="0.3">
      <c r="O926" s="42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</row>
    <row r="927" spans="15:33" ht="14.25" customHeight="1" x14ac:dyDescent="0.3">
      <c r="O927" s="42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</row>
    <row r="928" spans="15:33" ht="14.25" customHeight="1" x14ac:dyDescent="0.3">
      <c r="O928" s="42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</row>
    <row r="929" spans="15:33" ht="14.25" customHeight="1" x14ac:dyDescent="0.3">
      <c r="O929" s="42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</row>
    <row r="930" spans="15:33" ht="14.25" customHeight="1" x14ac:dyDescent="0.3">
      <c r="O930" s="42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</row>
    <row r="931" spans="15:33" ht="14.25" customHeight="1" x14ac:dyDescent="0.3">
      <c r="O931" s="42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</row>
    <row r="932" spans="15:33" ht="14.25" customHeight="1" x14ac:dyDescent="0.3">
      <c r="O932" s="42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</row>
    <row r="933" spans="15:33" ht="14.25" customHeight="1" x14ac:dyDescent="0.3">
      <c r="O933" s="42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</row>
    <row r="934" spans="15:33" ht="14.25" customHeight="1" x14ac:dyDescent="0.3">
      <c r="O934" s="42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</row>
    <row r="935" spans="15:33" ht="14.25" customHeight="1" x14ac:dyDescent="0.3">
      <c r="O935" s="42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</row>
    <row r="936" spans="15:33" ht="14.25" customHeight="1" x14ac:dyDescent="0.3">
      <c r="O936" s="42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</row>
    <row r="937" spans="15:33" ht="14.25" customHeight="1" x14ac:dyDescent="0.3">
      <c r="O937" s="42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</row>
    <row r="938" spans="15:33" ht="14.25" customHeight="1" x14ac:dyDescent="0.3">
      <c r="O938" s="42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</row>
    <row r="939" spans="15:33" ht="14.25" customHeight="1" x14ac:dyDescent="0.3">
      <c r="O939" s="42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</row>
    <row r="940" spans="15:33" ht="14.25" customHeight="1" x14ac:dyDescent="0.3">
      <c r="O940" s="42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</row>
    <row r="941" spans="15:33" ht="14.25" customHeight="1" x14ac:dyDescent="0.3">
      <c r="O941" s="42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</row>
    <row r="942" spans="15:33" ht="14.25" customHeight="1" x14ac:dyDescent="0.3">
      <c r="O942" s="42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</row>
    <row r="943" spans="15:33" ht="14.25" customHeight="1" x14ac:dyDescent="0.3">
      <c r="O943" s="42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</row>
    <row r="944" spans="15:33" ht="14.25" customHeight="1" x14ac:dyDescent="0.3">
      <c r="O944" s="42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</row>
    <row r="945" spans="15:33" ht="14.25" customHeight="1" x14ac:dyDescent="0.3">
      <c r="O945" s="42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</row>
    <row r="946" spans="15:33" ht="14.25" customHeight="1" x14ac:dyDescent="0.3">
      <c r="O946" s="42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</row>
    <row r="947" spans="15:33" ht="14.25" customHeight="1" x14ac:dyDescent="0.3">
      <c r="O947" s="42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</row>
    <row r="948" spans="15:33" ht="14.25" customHeight="1" x14ac:dyDescent="0.3">
      <c r="O948" s="42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</row>
    <row r="949" spans="15:33" ht="14.25" customHeight="1" x14ac:dyDescent="0.3">
      <c r="O949" s="42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</row>
    <row r="950" spans="15:33" ht="14.25" customHeight="1" x14ac:dyDescent="0.3">
      <c r="O950" s="42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</row>
    <row r="951" spans="15:33" ht="14.25" customHeight="1" x14ac:dyDescent="0.3">
      <c r="O951" s="42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</row>
    <row r="952" spans="15:33" ht="14.25" customHeight="1" x14ac:dyDescent="0.3">
      <c r="O952" s="42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</row>
    <row r="953" spans="15:33" ht="14.25" customHeight="1" x14ac:dyDescent="0.3">
      <c r="O953" s="42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</row>
    <row r="954" spans="15:33" ht="14.25" customHeight="1" x14ac:dyDescent="0.3">
      <c r="O954" s="42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</row>
    <row r="955" spans="15:33" ht="14.25" customHeight="1" x14ac:dyDescent="0.3">
      <c r="O955" s="42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</row>
    <row r="956" spans="15:33" ht="14.25" customHeight="1" x14ac:dyDescent="0.3">
      <c r="O956" s="42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</row>
    <row r="957" spans="15:33" ht="14.25" customHeight="1" x14ac:dyDescent="0.3">
      <c r="O957" s="42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</row>
    <row r="958" spans="15:33" ht="14.25" customHeight="1" x14ac:dyDescent="0.3">
      <c r="O958" s="42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</row>
    <row r="959" spans="15:33" ht="14.25" customHeight="1" x14ac:dyDescent="0.3">
      <c r="O959" s="42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</row>
    <row r="960" spans="15:33" ht="14.25" customHeight="1" x14ac:dyDescent="0.3">
      <c r="O960" s="42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</row>
    <row r="961" spans="15:33" ht="14.25" customHeight="1" x14ac:dyDescent="0.3">
      <c r="O961" s="42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</row>
    <row r="962" spans="15:33" ht="14.25" customHeight="1" x14ac:dyDescent="0.3">
      <c r="O962" s="42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</row>
    <row r="963" spans="15:33" ht="14.25" customHeight="1" x14ac:dyDescent="0.3">
      <c r="O963" s="42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</row>
    <row r="964" spans="15:33" ht="14.25" customHeight="1" x14ac:dyDescent="0.3">
      <c r="O964" s="42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</row>
    <row r="965" spans="15:33" ht="14.25" customHeight="1" x14ac:dyDescent="0.3">
      <c r="O965" s="42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</row>
    <row r="966" spans="15:33" ht="14.25" customHeight="1" x14ac:dyDescent="0.3">
      <c r="O966" s="42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</row>
    <row r="967" spans="15:33" ht="14.25" customHeight="1" x14ac:dyDescent="0.3">
      <c r="O967" s="42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</row>
    <row r="968" spans="15:33" ht="14.25" customHeight="1" x14ac:dyDescent="0.3">
      <c r="O968" s="42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</row>
    <row r="969" spans="15:33" ht="14.25" customHeight="1" x14ac:dyDescent="0.3">
      <c r="O969" s="42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</row>
    <row r="970" spans="15:33" ht="14.25" customHeight="1" x14ac:dyDescent="0.3">
      <c r="O970" s="42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</row>
    <row r="971" spans="15:33" ht="14.25" customHeight="1" x14ac:dyDescent="0.3">
      <c r="O971" s="42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</row>
    <row r="972" spans="15:33" ht="14.25" customHeight="1" x14ac:dyDescent="0.3">
      <c r="O972" s="42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</row>
    <row r="973" spans="15:33" ht="14.25" customHeight="1" x14ac:dyDescent="0.3">
      <c r="O973" s="42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</row>
    <row r="974" spans="15:33" ht="14.25" customHeight="1" x14ac:dyDescent="0.3">
      <c r="O974" s="42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</row>
    <row r="975" spans="15:33" ht="14.25" customHeight="1" x14ac:dyDescent="0.3">
      <c r="O975" s="42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</row>
    <row r="976" spans="15:33" ht="14.25" customHeight="1" x14ac:dyDescent="0.3">
      <c r="O976" s="42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</row>
    <row r="977" spans="15:33" ht="14.25" customHeight="1" x14ac:dyDescent="0.3">
      <c r="O977" s="42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</row>
    <row r="978" spans="15:33" ht="14.25" customHeight="1" x14ac:dyDescent="0.3">
      <c r="O978" s="42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</row>
    <row r="979" spans="15:33" ht="14.25" customHeight="1" x14ac:dyDescent="0.3">
      <c r="O979" s="42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</row>
    <row r="980" spans="15:33" ht="14.25" customHeight="1" x14ac:dyDescent="0.3">
      <c r="O980" s="42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</row>
    <row r="981" spans="15:33" ht="14.25" customHeight="1" x14ac:dyDescent="0.3">
      <c r="O981" s="42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</row>
    <row r="982" spans="15:33" ht="14.25" customHeight="1" x14ac:dyDescent="0.3">
      <c r="O982" s="42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</row>
    <row r="983" spans="15:33" ht="14.25" customHeight="1" x14ac:dyDescent="0.3">
      <c r="O983" s="42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</row>
    <row r="984" spans="15:33" ht="14.25" customHeight="1" x14ac:dyDescent="0.3">
      <c r="O984" s="42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</row>
    <row r="985" spans="15:33" ht="14.25" customHeight="1" x14ac:dyDescent="0.3">
      <c r="O985" s="42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</row>
    <row r="986" spans="15:33" ht="14.25" customHeight="1" x14ac:dyDescent="0.3">
      <c r="O986" s="42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</row>
    <row r="987" spans="15:33" ht="14.25" customHeight="1" x14ac:dyDescent="0.3">
      <c r="O987" s="42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</row>
    <row r="988" spans="15:33" ht="14.25" customHeight="1" x14ac:dyDescent="0.3">
      <c r="O988" s="42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</row>
    <row r="989" spans="15:33" ht="14.25" customHeight="1" x14ac:dyDescent="0.3">
      <c r="O989" s="42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</row>
    <row r="990" spans="15:33" ht="14.25" customHeight="1" x14ac:dyDescent="0.3">
      <c r="O990" s="42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</row>
    <row r="991" spans="15:33" ht="14.25" customHeight="1" x14ac:dyDescent="0.3">
      <c r="O991" s="42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</row>
    <row r="992" spans="15:33" ht="14.25" customHeight="1" x14ac:dyDescent="0.3">
      <c r="O992" s="42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</row>
    <row r="993" spans="15:33" ht="14.25" customHeight="1" x14ac:dyDescent="0.3">
      <c r="O993" s="42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</row>
    <row r="994" spans="15:33" ht="14.25" customHeight="1" x14ac:dyDescent="0.3">
      <c r="O994" s="42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</row>
    <row r="995" spans="15:33" ht="14.25" customHeight="1" x14ac:dyDescent="0.3">
      <c r="O995" s="42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</row>
    <row r="996" spans="15:33" ht="14.25" customHeight="1" x14ac:dyDescent="0.3">
      <c r="O996" s="42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</row>
    <row r="997" spans="15:33" ht="14.25" customHeight="1" x14ac:dyDescent="0.3">
      <c r="O997" s="42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</row>
    <row r="998" spans="15:33" ht="14.25" customHeight="1" x14ac:dyDescent="0.3">
      <c r="O998" s="42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</row>
    <row r="999" spans="15:33" ht="14.25" customHeight="1" x14ac:dyDescent="0.3">
      <c r="O999" s="42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</row>
    <row r="1000" spans="15:33" ht="14.25" customHeight="1" x14ac:dyDescent="0.3">
      <c r="O1000" s="42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</row>
    <row r="1001" spans="15:33" ht="14.25" customHeight="1" x14ac:dyDescent="0.3">
      <c r="O1001" s="42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39"/>
      <c r="AF1001" s="39"/>
      <c r="AG1001" s="39"/>
    </row>
    <row r="1002" spans="15:33" ht="14.25" customHeight="1" x14ac:dyDescent="0.3">
      <c r="O1002" s="42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39"/>
      <c r="AF1002" s="39"/>
      <c r="AG1002" s="39"/>
    </row>
    <row r="1003" spans="15:33" ht="14.25" customHeight="1" x14ac:dyDescent="0.3">
      <c r="O1003" s="42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39"/>
      <c r="AF1003" s="39"/>
      <c r="AG1003" s="39"/>
    </row>
    <row r="1004" spans="15:33" ht="14.25" customHeight="1" x14ac:dyDescent="0.3">
      <c r="O1004" s="42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39"/>
      <c r="AF1004" s="39"/>
      <c r="AG1004" s="39"/>
    </row>
    <row r="1005" spans="15:33" ht="14.25" customHeight="1" x14ac:dyDescent="0.3">
      <c r="O1005" s="42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39"/>
      <c r="AF1005" s="39"/>
      <c r="AG1005" s="39"/>
    </row>
    <row r="1006" spans="15:33" ht="14.25" customHeight="1" x14ac:dyDescent="0.3">
      <c r="O1006" s="42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39"/>
      <c r="AF1006" s="39"/>
      <c r="AG1006" s="39"/>
    </row>
    <row r="1007" spans="15:33" ht="14.25" customHeight="1" x14ac:dyDescent="0.3">
      <c r="O1007" s="42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39"/>
      <c r="AF1007" s="39"/>
      <c r="AG1007" s="39"/>
    </row>
    <row r="1008" spans="15:33" ht="14.25" customHeight="1" x14ac:dyDescent="0.3">
      <c r="O1008" s="42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39"/>
      <c r="AF1008" s="39"/>
      <c r="AG1008" s="39"/>
    </row>
    <row r="1009" spans="15:33" ht="14.25" customHeight="1" x14ac:dyDescent="0.3">
      <c r="O1009" s="42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39"/>
      <c r="AF1009" s="39"/>
      <c r="AG1009" s="39"/>
    </row>
    <row r="1010" spans="15:33" ht="14.25" customHeight="1" x14ac:dyDescent="0.3">
      <c r="O1010" s="42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39"/>
      <c r="AF1010" s="39"/>
      <c r="AG1010" s="39"/>
    </row>
    <row r="1011" spans="15:33" ht="14.25" customHeight="1" x14ac:dyDescent="0.3">
      <c r="O1011" s="42"/>
      <c r="V1011" s="39"/>
      <c r="W1011" s="39"/>
      <c r="X1011" s="39"/>
      <c r="Y1011" s="39"/>
      <c r="Z1011" s="39"/>
      <c r="AA1011" s="39"/>
      <c r="AB1011" s="39"/>
      <c r="AC1011" s="39"/>
      <c r="AD1011" s="39"/>
      <c r="AE1011" s="39"/>
      <c r="AF1011" s="39"/>
      <c r="AG1011" s="39"/>
    </row>
    <row r="1012" spans="15:33" ht="14.25" customHeight="1" x14ac:dyDescent="0.3">
      <c r="O1012" s="42"/>
      <c r="V1012" s="39"/>
      <c r="W1012" s="39"/>
      <c r="X1012" s="39"/>
      <c r="Y1012" s="39"/>
      <c r="Z1012" s="39"/>
      <c r="AA1012" s="39"/>
      <c r="AB1012" s="39"/>
      <c r="AC1012" s="39"/>
      <c r="AD1012" s="39"/>
      <c r="AE1012" s="39"/>
      <c r="AF1012" s="39"/>
      <c r="AG1012" s="39"/>
    </row>
    <row r="1013" spans="15:33" ht="14.25" customHeight="1" x14ac:dyDescent="0.3">
      <c r="O1013" s="42"/>
      <c r="V1013" s="39"/>
      <c r="W1013" s="39"/>
      <c r="X1013" s="39"/>
      <c r="Y1013" s="39"/>
      <c r="Z1013" s="39"/>
      <c r="AA1013" s="39"/>
      <c r="AB1013" s="39"/>
      <c r="AC1013" s="39"/>
      <c r="AD1013" s="39"/>
      <c r="AE1013" s="39"/>
      <c r="AF1013" s="39"/>
      <c r="AG1013" s="39"/>
    </row>
    <row r="1014" spans="15:33" ht="14.25" customHeight="1" x14ac:dyDescent="0.3">
      <c r="O1014" s="42"/>
      <c r="V1014" s="39"/>
      <c r="W1014" s="39"/>
      <c r="X1014" s="39"/>
      <c r="Y1014" s="39"/>
      <c r="Z1014" s="39"/>
      <c r="AA1014" s="39"/>
      <c r="AB1014" s="39"/>
      <c r="AC1014" s="39"/>
      <c r="AD1014" s="39"/>
      <c r="AE1014" s="39"/>
      <c r="AF1014" s="39"/>
      <c r="AG1014" s="39"/>
    </row>
    <row r="1015" spans="15:33" ht="14.25" customHeight="1" x14ac:dyDescent="0.3">
      <c r="O1015" s="42"/>
      <c r="V1015" s="39"/>
      <c r="W1015" s="39"/>
      <c r="X1015" s="39"/>
      <c r="Y1015" s="39"/>
      <c r="Z1015" s="39"/>
      <c r="AA1015" s="39"/>
      <c r="AB1015" s="39"/>
      <c r="AC1015" s="39"/>
      <c r="AD1015" s="39"/>
      <c r="AE1015" s="39"/>
      <c r="AF1015" s="39"/>
      <c r="AG1015" s="39"/>
    </row>
  </sheetData>
  <mergeCells count="2">
    <mergeCell ref="D5:N5"/>
    <mergeCell ref="D6:N6"/>
  </mergeCells>
  <phoneticPr fontId="10" type="noConversion"/>
  <conditionalFormatting sqref="Q1:Q1015 T1:T1015 U3:U6">
    <cfRule type="cellIs" dxfId="5" priority="1" operator="equal">
      <formula>"A"</formula>
    </cfRule>
  </conditionalFormatting>
  <conditionalFormatting sqref="Q1:Q1015 T1:T1015 U3:U6">
    <cfRule type="cellIs" dxfId="4" priority="2" operator="equal">
      <formula>"B"</formula>
    </cfRule>
  </conditionalFormatting>
  <conditionalFormatting sqref="Q1:Q1015 T1:T1015 U3:U6">
    <cfRule type="cellIs" dxfId="3" priority="3" operator="equal">
      <formula>"C"</formula>
    </cfRule>
  </conditionalFormatting>
  <conditionalFormatting sqref="Q1:Q1015 T1:T1015 U3:U6">
    <cfRule type="cellIs" dxfId="2" priority="4" operator="equal">
      <formula>"X"</formula>
    </cfRule>
  </conditionalFormatting>
  <conditionalFormatting sqref="Q1:Q1015 T1:T1015 U3:U6">
    <cfRule type="cellIs" dxfId="1" priority="5" operator="equal">
      <formula>"Y"</formula>
    </cfRule>
  </conditionalFormatting>
  <conditionalFormatting sqref="Q1:Q1015 T1:T1015 U3:U6">
    <cfRule type="cellIs" dxfId="0" priority="6" operator="equal">
      <formula>"Z"</formula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ABC-XYZ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Hakeem-Ur-Rehman</cp:lastModifiedBy>
  <dcterms:modified xsi:type="dcterms:W3CDTF">2026-01-12T08:33:29Z</dcterms:modified>
</cp:coreProperties>
</file>